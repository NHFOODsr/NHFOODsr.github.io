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신상품list" sheetId="1" state="visible" r:id="rId1"/>
    <sheet xmlns:r="http://schemas.openxmlformats.org/officeDocument/2006/relationships" name="매출원천" sheetId="2" state="visible" r:id="rId2"/>
    <sheet xmlns:r="http://schemas.openxmlformats.org/officeDocument/2006/relationships" name="26년 신상품 월별매출" sheetId="3" state="visible" r:id="rId3"/>
  </sheets>
  <definedNames>
    <definedName name="_xlnm.Consolidate_Area">#REF!</definedName>
    <definedName name="ㄴㅇㅇ">#REF!</definedName>
    <definedName name="_xlnm._FilterDatabase" localSheetId="0" hidden="1">'신상품list'!$B$2:$H$61</definedName>
    <definedName name="_xlnm._FilterDatabase" localSheetId="2" hidden="1">'26년 신상품 월별매출'!$A$10:$AC$66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_-;_-@_-"/>
    <numFmt numFmtId="165" formatCode="#,##0;\(#,##0\);\-"/>
    <numFmt numFmtId="166" formatCode="0.0&quot;배&quot;"/>
    <numFmt numFmtId="167" formatCode="0&quot;개월&quot;"/>
    <numFmt numFmtId="168" formatCode="yyyy/mm"/>
  </numFmts>
  <fonts count="21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9"/>
      <scheme val="major"/>
    </font>
    <font>
      <name val="맑은 고딕"/>
      <charset val="129"/>
      <family val="3"/>
      <color theme="0"/>
      <sz val="11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i val="1"/>
      <color rgb="FF595959"/>
      <sz val="9"/>
      <scheme val="maj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i val="1"/>
      <color rgb="FF595959"/>
      <sz val="11"/>
      <scheme val="minor"/>
    </font>
    <font>
      <name val="맑은 고딕"/>
      <charset val="129"/>
      <family val="2"/>
      <b val="1"/>
      <color theme="1"/>
      <sz val="14"/>
      <scheme val="minor"/>
    </font>
    <font>
      <name val="맑은 고딕"/>
      <charset val="129"/>
      <family val="2"/>
      <color rgb="FF595959"/>
      <sz val="11"/>
      <scheme val="minor"/>
    </font>
    <font>
      <name val="맑은 고딕"/>
      <charset val="129"/>
      <family val="2"/>
      <color rgb="FF00800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Arial"/>
      <family val="2"/>
      <color theme="1"/>
      <sz val="9"/>
    </font>
    <font>
      <name val="맑은 고딕"/>
      <charset val="129"/>
      <family val="3"/>
      <color theme="1"/>
      <sz val="9"/>
    </font>
    <font>
      <name val="Arial Unicode MS"/>
      <charset val="129"/>
      <family val="2"/>
      <color theme="1"/>
      <sz val="9"/>
    </font>
    <font>
      <name val="Arial"/>
      <charset val="129"/>
      <family val="2"/>
      <color theme="1"/>
      <sz val="9"/>
    </font>
    <font>
      <name val="맑은 고딕"/>
      <charset val="129"/>
      <family val="2"/>
      <color rgb="FF0000FF"/>
      <sz val="11"/>
      <scheme val="minor"/>
    </font>
    <font>
      <name val="맑은 고딕"/>
      <charset val="129"/>
      <family val="2"/>
      <color rgb="FF80808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8F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7" fillId="0" borderId="0" applyAlignment="1">
      <alignment vertical="center"/>
    </xf>
    <xf numFmtId="41" fontId="7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1" xfId="0">
      <alignment vertical="center"/>
    </xf>
    <xf numFmtId="14" fontId="1" fillId="0" borderId="1" applyAlignment="1" pivotButton="0" quotePrefix="0" xfId="0">
      <alignment horizontal="left"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164" fontId="0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  <xf numFmtId="164" fontId="6" fillId="3" borderId="5" applyAlignment="1" pivotButton="0" quotePrefix="0" xfId="1">
      <alignment horizontal="center" vertical="center" wrapText="1"/>
    </xf>
    <xf numFmtId="164" fontId="6" fillId="0" borderId="0" applyAlignment="1" pivotButton="0" quotePrefix="0" xfId="1">
      <alignment vertical="center"/>
    </xf>
    <xf numFmtId="0" fontId="1" fillId="0" borderId="0" applyAlignment="1" pivotButton="0" quotePrefix="1" xfId="0">
      <alignment vertical="center"/>
    </xf>
    <xf numFmtId="0" fontId="0" fillId="0" borderId="3" applyAlignment="1" pivotButton="0" quotePrefix="1" xfId="0">
      <alignment vertical="center"/>
    </xf>
    <xf numFmtId="0" fontId="8" fillId="0" borderId="0" applyAlignment="1" pivotButton="0" quotePrefix="0" xfId="0">
      <alignment vertical="center"/>
    </xf>
    <xf numFmtId="41" fontId="0" fillId="0" borderId="0" applyAlignment="1" pivotButton="0" quotePrefix="0" xfId="1">
      <alignment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49" fontId="9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49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14" fontId="13" fillId="0" borderId="7" applyAlignment="1" pivotButton="0" quotePrefix="0" xfId="0">
      <alignment vertical="center"/>
    </xf>
    <xf numFmtId="165" fontId="0" fillId="0" borderId="7" applyAlignment="1" pivotButton="0" quotePrefix="0" xfId="0">
      <alignment vertical="center"/>
    </xf>
    <xf numFmtId="165" fontId="9" fillId="0" borderId="7" applyAlignment="1" pivotButton="0" quotePrefix="0" xfId="0">
      <alignment vertical="center"/>
    </xf>
    <xf numFmtId="0" fontId="9" fillId="5" borderId="8" applyAlignment="1" pivotButton="0" quotePrefix="0" xfId="0">
      <alignment vertical="center"/>
    </xf>
    <xf numFmtId="165" fontId="9" fillId="5" borderId="8" applyAlignment="1" pivotButton="0" quotePrefix="0" xfId="0">
      <alignment vertical="center"/>
    </xf>
    <xf numFmtId="49" fontId="14" fillId="0" borderId="0" applyAlignment="1" pivotButton="0" quotePrefix="0" xfId="0">
      <alignment vertical="center"/>
    </xf>
    <xf numFmtId="0" fontId="15" fillId="0" borderId="9" applyAlignment="1" pivotButton="0" quotePrefix="0" xfId="0">
      <alignment vertical="center" wrapText="1"/>
    </xf>
    <xf numFmtId="0" fontId="18" fillId="0" borderId="9" applyAlignment="1" pivotButton="0" quotePrefix="0" xfId="0">
      <alignment vertical="center" wrapText="1"/>
    </xf>
    <xf numFmtId="166" fontId="19" fillId="6" borderId="0" applyAlignment="1" pivotButton="0" quotePrefix="0" xfId="0">
      <alignment vertical="center"/>
    </xf>
    <xf numFmtId="3" fontId="19" fillId="6" borderId="0" applyAlignment="1" pivotButton="0" quotePrefix="0" xfId="0">
      <alignment vertical="center"/>
    </xf>
    <xf numFmtId="14" fontId="19" fillId="6" borderId="0" applyAlignment="1" pivotButton="0" quotePrefix="0" xfId="0">
      <alignment vertical="center"/>
    </xf>
    <xf numFmtId="167" fontId="19" fillId="6" borderId="0" applyAlignment="1" pivotButton="0" quotePrefix="0" xfId="0">
      <alignment vertical="center"/>
    </xf>
    <xf numFmtId="168" fontId="19" fillId="6" borderId="0" applyAlignment="1" pivotButton="0" quotePrefix="0" xfId="0">
      <alignment vertical="center"/>
    </xf>
    <xf numFmtId="168" fontId="20" fillId="0" borderId="0" applyAlignment="1" pivotButton="0" quotePrefix="0" xfId="0">
      <alignment vertical="center"/>
    </xf>
    <xf numFmtId="0" fontId="9" fillId="4" borderId="6" applyAlignment="1" pivotButton="0" quotePrefix="0" xfId="0">
      <alignment horizontal="center" vertical="center" wrapText="1"/>
    </xf>
    <xf numFmtId="0" fontId="9" fillId="7" borderId="6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1" fontId="0" fillId="0" borderId="7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5" fontId="0" fillId="8" borderId="7" applyAlignment="1" pivotButton="0" quotePrefix="0" xfId="0">
      <alignment vertical="center"/>
    </xf>
    <xf numFmtId="0" fontId="9" fillId="6" borderId="6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9" fontId="19" fillId="0" borderId="0" applyAlignment="1" pivotButton="0" quotePrefix="0" xfId="0">
      <alignment horizontal="center" vertical="center"/>
    </xf>
    <xf numFmtId="165" fontId="19" fillId="8" borderId="7" applyAlignment="1" pivotButton="0" quotePrefix="0" xfId="0">
      <alignment vertical="center"/>
    </xf>
    <xf numFmtId="164" fontId="1" fillId="0" borderId="0" applyAlignment="1" pivotButton="0" quotePrefix="0" xfId="1">
      <alignment vertical="center"/>
    </xf>
    <xf numFmtId="0" fontId="0" fillId="0" borderId="0" pivotButton="0" quotePrefix="0" xfId="0"/>
    <xf numFmtId="164" fontId="6" fillId="3" borderId="5" applyAlignment="1" pivotButton="0" quotePrefix="0" xfId="1">
      <alignment horizontal="center" vertical="center" wrapText="1"/>
    </xf>
    <xf numFmtId="164" fontId="0" fillId="0" borderId="0" applyAlignment="1" pivotButton="0" quotePrefix="0" xfId="1">
      <alignment vertical="center"/>
    </xf>
    <xf numFmtId="41" fontId="0" fillId="0" borderId="0" applyAlignment="1" pivotButton="0" quotePrefix="0" xfId="1">
      <alignment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0">
      <alignment vertical="center"/>
    </xf>
    <xf numFmtId="164" fontId="6" fillId="0" borderId="0" applyAlignment="1" pivotButton="0" quotePrefix="0" xfId="1">
      <alignment vertical="center"/>
    </xf>
    <xf numFmtId="165" fontId="0" fillId="0" borderId="0" applyAlignment="1" pivotButton="0" quotePrefix="0" xfId="0">
      <alignment vertical="center"/>
    </xf>
    <xf numFmtId="166" fontId="19" fillId="6" borderId="0" applyAlignment="1" pivotButton="0" quotePrefix="0" xfId="0">
      <alignment vertical="center"/>
    </xf>
    <xf numFmtId="167" fontId="19" fillId="6" borderId="0" applyAlignment="1" pivotButton="0" quotePrefix="0" xfId="0">
      <alignment vertical="center"/>
    </xf>
    <xf numFmtId="168" fontId="19" fillId="6" borderId="0" applyAlignment="1" pivotButton="0" quotePrefix="0" xfId="0">
      <alignment vertical="center"/>
    </xf>
    <xf numFmtId="168" fontId="20" fillId="0" borderId="0" applyAlignment="1" pivotButton="0" quotePrefix="0" xfId="0">
      <alignment vertical="center"/>
    </xf>
    <xf numFmtId="165" fontId="0" fillId="0" borderId="7" applyAlignment="1" pivotButton="0" quotePrefix="0" xfId="0">
      <alignment vertical="center"/>
    </xf>
    <xf numFmtId="165" fontId="0" fillId="0" borderId="7" applyAlignment="1" pivotButton="0" quotePrefix="0" xfId="0">
      <alignment horizontal="center" vertical="center"/>
    </xf>
    <xf numFmtId="165" fontId="0" fillId="8" borderId="7" applyAlignment="1" pivotButton="0" quotePrefix="0" xfId="0">
      <alignment vertical="center"/>
    </xf>
    <xf numFmtId="165" fontId="9" fillId="0" borderId="7" applyAlignment="1" pivotButton="0" quotePrefix="0" xfId="0">
      <alignment vertical="center"/>
    </xf>
    <xf numFmtId="165" fontId="19" fillId="8" borderId="7" applyAlignment="1" pivotButton="0" quotePrefix="0" xfId="0">
      <alignment vertical="center"/>
    </xf>
    <xf numFmtId="165" fontId="9" fillId="5" borderId="8" applyAlignment="1" pivotButton="0" quotePrefix="0" xfId="0">
      <alignment vertical="center"/>
    </xf>
  </cellXfs>
  <cellStyles count="2">
    <cellStyle name="표준" xfId="0" builtinId="0"/>
    <cellStyle name="쉼표 [0]" xfId="1" builtinId="6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tabColor rgb="FFFFC000"/>
    <outlinePr summaryBelow="1" summaryRight="1"/>
    <pageSetUpPr/>
  </sheetPr>
  <dimension ref="A1:U1048571"/>
  <sheetViews>
    <sheetView tabSelected="1" topLeftCell="A42" workbookViewId="0">
      <selection activeCell="E65" sqref="E65"/>
    </sheetView>
  </sheetViews>
  <sheetFormatPr baseColWidth="8" defaultColWidth="9" defaultRowHeight="17.4"/>
  <cols>
    <col width="4.09765625" customWidth="1" style="9" min="1" max="1"/>
    <col width="9" bestFit="1" customWidth="1" style="9" min="2" max="2"/>
    <col width="13.3984375" bestFit="1" customWidth="1" style="9" min="3" max="3"/>
    <col width="15" bestFit="1" customWidth="1" style="9" min="4" max="5"/>
    <col width="62.3984375" bestFit="1" customWidth="1" style="9" min="6" max="6"/>
    <col width="9.5" customWidth="1" style="9" min="7" max="7"/>
    <col width="11.09765625" bestFit="1" customWidth="1" style="9" min="8" max="8"/>
    <col width="9" customWidth="1" style="9" min="9" max="9"/>
    <col width="13.09765625" customWidth="1" style="59" min="10" max="12"/>
    <col width="15.09765625" customWidth="1" style="59" min="13" max="13"/>
    <col width="15.09765625" customWidth="1" style="9" min="14" max="17"/>
    <col width="9" customWidth="1" style="9" min="18" max="20"/>
    <col width="9" customWidth="1" style="9" min="21" max="16384"/>
  </cols>
  <sheetData>
    <row r="1" ht="17.4" customHeight="1" s="60">
      <c r="A1" s="1" t="n">
        <v>1</v>
      </c>
      <c r="B1" s="1" t="n">
        <v>2</v>
      </c>
      <c r="C1" s="1" t="n"/>
      <c r="D1" s="1" t="n"/>
      <c r="E1" s="1" t="n">
        <v>3</v>
      </c>
      <c r="F1" s="1" t="n">
        <v>4</v>
      </c>
      <c r="G1" s="1" t="n"/>
      <c r="N1" s="59" t="n"/>
      <c r="O1" s="59" t="n"/>
      <c r="P1" s="59" t="n"/>
      <c r="Q1" s="59" t="n"/>
    </row>
    <row r="2" ht="34.8" customHeight="1" s="60">
      <c r="B2" s="2" t="inlineStr">
        <is>
          <t>구 분</t>
        </is>
      </c>
      <c r="C2" s="2" t="inlineStr">
        <is>
          <t>명칭</t>
        </is>
      </c>
      <c r="D2" s="2" t="inlineStr">
        <is>
          <t>상세 명칭</t>
        </is>
      </c>
      <c r="E2" s="2" t="inlineStr">
        <is>
          <t>물품 코드</t>
        </is>
      </c>
      <c r="F2" s="2" t="inlineStr">
        <is>
          <t>물품명</t>
        </is>
      </c>
      <c r="G2" s="2" t="inlineStr">
        <is>
          <t>생산처</t>
        </is>
      </c>
      <c r="H2" s="2" t="inlineStr">
        <is>
          <t>상품출시일</t>
        </is>
      </c>
      <c r="I2" s="10" t="inlineStr">
        <is>
          <t>채널전용</t>
        </is>
      </c>
      <c r="J2" s="61" t="inlineStr">
        <is>
          <t>1주차
(8.1~8.7)</t>
        </is>
      </c>
      <c r="K2" s="61" t="inlineStr">
        <is>
          <t>2주차
(8.8~8.14)</t>
        </is>
      </c>
      <c r="L2" s="61" t="inlineStr">
        <is>
          <t>3주차
(8.15~8.21)</t>
        </is>
      </c>
      <c r="M2" s="61" t="inlineStr">
        <is>
          <t>4주차
(8.22~8.31)</t>
        </is>
      </c>
      <c r="N2" s="61" t="inlineStr">
        <is>
          <t>1주차
(9.1~9.7)</t>
        </is>
      </c>
      <c r="O2" s="61" t="inlineStr">
        <is>
          <t>2주차
(9.8~9.14)</t>
        </is>
      </c>
      <c r="P2" s="61" t="inlineStr">
        <is>
          <t>3주차
(9.15~9.21)</t>
        </is>
      </c>
      <c r="Q2" s="61" t="inlineStr">
        <is>
          <t>4주차
(9.22~9.30)</t>
        </is>
      </c>
      <c r="R2" t="inlineStr">
        <is>
          <t>1주차
(10.1~10.7)</t>
        </is>
      </c>
      <c r="S2" t="inlineStr">
        <is>
          <t>2주차
(10.8~10.14)</t>
        </is>
      </c>
      <c r="T2" t="inlineStr">
        <is>
          <t>3주차
(10.15~10.21)</t>
        </is>
      </c>
      <c r="U2" t="inlineStr">
        <is>
          <t>4주차
(10.22~10.31)</t>
        </is>
      </c>
    </row>
    <row r="3">
      <c r="A3" s="3" t="n"/>
      <c r="B3" s="4" t="inlineStr">
        <is>
          <t>판매사업</t>
        </is>
      </c>
      <c r="C3" s="4" t="inlineStr">
        <is>
          <t>새우볶음밥</t>
        </is>
      </c>
      <c r="D3" s="4" t="inlineStr">
        <is>
          <t>새우볶음밥</t>
        </is>
      </c>
      <c r="E3" s="6" t="inlineStr">
        <is>
          <t>8801448764026</t>
        </is>
      </c>
      <c r="F3" s="5" t="inlineStr">
        <is>
          <t>농협 파기름 새우볶음밥420g</t>
        </is>
      </c>
      <c r="G3" s="5" t="inlineStr">
        <is>
          <t>한우물</t>
        </is>
      </c>
      <c r="H3" s="7" t="n">
        <v>46034</v>
      </c>
      <c r="J3" s="59" t="n">
        <v>2181219</v>
      </c>
      <c r="K3" s="62" t="n">
        <v>2604880</v>
      </c>
      <c r="L3" s="62" t="n">
        <v>1732985</v>
      </c>
      <c r="M3" s="62" t="n">
        <v>3232277</v>
      </c>
      <c r="N3" s="63" t="n">
        <v>1568032</v>
      </c>
      <c r="O3" s="63" t="n">
        <v>1957438</v>
      </c>
      <c r="P3" s="63" t="n">
        <v>2592321</v>
      </c>
      <c r="Q3" s="63" t="n">
        <v>1665959</v>
      </c>
      <c r="R3" t="n">
        <v>1878090</v>
      </c>
      <c r="S3" t="n">
        <v>3459712</v>
      </c>
    </row>
    <row r="4">
      <c r="A4" s="3" t="n"/>
      <c r="B4" s="4" t="inlineStr">
        <is>
          <t>판매사업</t>
        </is>
      </c>
      <c r="C4" s="4" t="inlineStr">
        <is>
          <t>설선물세트</t>
        </is>
      </c>
      <c r="D4" s="4" t="inlineStr">
        <is>
          <t>선물세트 즉석밥</t>
        </is>
      </c>
      <c r="E4" s="6" t="inlineStr">
        <is>
          <t>8801448764958</t>
        </is>
      </c>
      <c r="F4" s="5" t="inlineStr">
        <is>
          <t>(선물세트) 한국농협밥 백미 선물세트 (210g * 10개입)</t>
        </is>
      </c>
      <c r="G4" s="9" t="inlineStr">
        <is>
          <t>시아스</t>
        </is>
      </c>
      <c r="H4" s="8" t="n">
        <v>46037</v>
      </c>
      <c r="J4" s="59" t="n">
        <v>0</v>
      </c>
      <c r="K4" s="62" t="n">
        <v>0</v>
      </c>
      <c r="L4" s="62" t="n">
        <v>0</v>
      </c>
      <c r="M4" s="62" t="n">
        <v>0</v>
      </c>
      <c r="N4" s="63" t="n">
        <v>0</v>
      </c>
      <c r="O4" s="63" t="n">
        <v>0</v>
      </c>
      <c r="P4" s="63" t="n">
        <v>0</v>
      </c>
      <c r="Q4" s="63" t="n">
        <v>0</v>
      </c>
      <c r="R4" t="n">
        <v>0</v>
      </c>
      <c r="S4" t="n">
        <v>0</v>
      </c>
    </row>
    <row r="5">
      <c r="A5" s="3" t="n"/>
      <c r="B5" s="4" t="inlineStr">
        <is>
          <t>판매사업</t>
        </is>
      </c>
      <c r="C5" s="4" t="inlineStr">
        <is>
          <t>설선물세트</t>
        </is>
      </c>
      <c r="D5" s="4" t="inlineStr">
        <is>
          <t>선물세트 율무차</t>
        </is>
      </c>
      <c r="E5" s="6" t="inlineStr">
        <is>
          <t>8801448765092</t>
        </is>
      </c>
      <c r="F5" s="5" t="inlineStr">
        <is>
          <t>농협 국산 호두 율무차 80T(1,600g)</t>
        </is>
      </c>
      <c r="G5" s="9" t="inlineStr">
        <is>
          <t>북안동농협</t>
        </is>
      </c>
      <c r="H5" s="8" t="n">
        <v>46037</v>
      </c>
      <c r="I5" s="8" t="n"/>
      <c r="J5" s="59" t="n">
        <v>0</v>
      </c>
      <c r="K5" s="62" t="n">
        <v>0</v>
      </c>
      <c r="L5" s="62" t="n">
        <v>24545</v>
      </c>
      <c r="M5" s="62" t="n">
        <v>154364</v>
      </c>
      <c r="N5" s="63" t="n">
        <v>583310</v>
      </c>
      <c r="O5" s="63" t="n">
        <v>1069093</v>
      </c>
      <c r="P5" s="63" t="n">
        <v>246982</v>
      </c>
      <c r="Q5" s="63" t="n">
        <v>0</v>
      </c>
      <c r="R5" t="n">
        <v>15864218</v>
      </c>
      <c r="S5" t="n">
        <v>92618</v>
      </c>
    </row>
    <row r="6">
      <c r="A6" s="3" t="n"/>
      <c r="B6" s="4" t="inlineStr">
        <is>
          <t>판매사업</t>
        </is>
      </c>
      <c r="C6" s="4" t="inlineStr">
        <is>
          <t>설선물세트</t>
        </is>
      </c>
      <c r="D6" s="4" t="inlineStr">
        <is>
          <t>선물세트 참들기름</t>
        </is>
      </c>
      <c r="E6" s="6" t="inlineStr">
        <is>
          <t>8801448765153</t>
        </is>
      </c>
      <c r="F6" s="5" t="inlineStr">
        <is>
          <t>농협 프리미엄 국산 참들기름 선물세트</t>
        </is>
      </c>
      <c r="G6" s="9" t="inlineStr">
        <is>
          <t>남면농협</t>
        </is>
      </c>
      <c r="H6" s="8" t="n">
        <v>46037</v>
      </c>
      <c r="J6" s="59" t="n">
        <v>0</v>
      </c>
      <c r="K6" s="62" t="n">
        <v>0</v>
      </c>
      <c r="L6" s="62" t="n">
        <v>0</v>
      </c>
      <c r="M6" s="62" t="n">
        <v>0</v>
      </c>
      <c r="N6" s="63" t="n">
        <v>0</v>
      </c>
      <c r="O6" s="63" t="n">
        <v>1090909</v>
      </c>
      <c r="P6" s="63" t="n">
        <v>1718946</v>
      </c>
      <c r="Q6" s="63" t="n">
        <v>5279620</v>
      </c>
      <c r="R6" t="n">
        <v>763636</v>
      </c>
      <c r="S6" t="n">
        <v>0</v>
      </c>
    </row>
    <row r="7">
      <c r="A7" s="3" t="n"/>
      <c r="B7" s="4" t="inlineStr">
        <is>
          <t>판매사업</t>
        </is>
      </c>
      <c r="C7" s="4" t="inlineStr">
        <is>
          <t>설선물세트</t>
        </is>
      </c>
      <c r="D7" s="4" t="inlineStr">
        <is>
          <t>선물세트 쌀국수</t>
        </is>
      </c>
      <c r="E7" s="6" t="inlineStr">
        <is>
          <t>8801448764804</t>
        </is>
      </c>
      <c r="F7" s="5" t="inlineStr">
        <is>
          <t>(선물세트) 농협 우리쌀 쌀국수 선물세트 6입 (멸치, 파곰탕, 짬뽕)</t>
        </is>
      </c>
      <c r="G7" s="9" t="inlineStr">
        <is>
          <t>현농</t>
        </is>
      </c>
      <c r="H7" s="8" t="n">
        <v>46037</v>
      </c>
      <c r="J7" s="59" t="n">
        <v>0</v>
      </c>
      <c r="K7" s="62" t="n">
        <v>0</v>
      </c>
      <c r="L7" s="62" t="n">
        <v>0</v>
      </c>
      <c r="M7" s="62" t="n">
        <v>0</v>
      </c>
      <c r="N7" s="63" t="n">
        <v>0</v>
      </c>
      <c r="O7" s="63" t="n">
        <v>0</v>
      </c>
      <c r="P7" s="63" t="n">
        <v>0</v>
      </c>
      <c r="Q7" s="63" t="n">
        <v>0</v>
      </c>
      <c r="R7" t="n">
        <v>0</v>
      </c>
      <c r="S7" t="n">
        <v>0</v>
      </c>
    </row>
    <row r="8">
      <c r="A8" s="3" t="n"/>
      <c r="B8" s="4" t="inlineStr">
        <is>
          <t>판매사업</t>
        </is>
      </c>
      <c r="C8" s="4" t="inlineStr">
        <is>
          <t>과채음료</t>
        </is>
      </c>
      <c r="D8" s="4" t="inlineStr">
        <is>
          <t>국산담은 사과</t>
        </is>
      </c>
      <c r="E8" s="6" t="inlineStr">
        <is>
          <t>8801448759626</t>
        </is>
      </c>
      <c r="F8" s="5" t="inlineStr">
        <is>
          <t>농협 국산담은 사과 100ml</t>
        </is>
      </c>
      <c r="G8" s="9" t="inlineStr">
        <is>
          <t>자임</t>
        </is>
      </c>
      <c r="H8" s="8" t="n">
        <v>46097</v>
      </c>
      <c r="J8" s="59" t="n">
        <v>71820</v>
      </c>
      <c r="K8" s="62" t="n">
        <v>64638</v>
      </c>
      <c r="L8" s="62" t="n">
        <v>50274</v>
      </c>
      <c r="M8" s="62" t="n">
        <v>91018546</v>
      </c>
      <c r="N8" s="63" t="n">
        <v>416291</v>
      </c>
      <c r="O8" s="63" t="n">
        <v>317275</v>
      </c>
      <c r="P8" s="63" t="n">
        <v>137002</v>
      </c>
      <c r="Q8" s="63" t="n">
        <v>35910</v>
      </c>
      <c r="R8" t="n">
        <v>189002</v>
      </c>
      <c r="S8" t="n">
        <v>118638</v>
      </c>
    </row>
    <row r="9">
      <c r="A9" s="3" t="n"/>
      <c r="B9" s="4" t="inlineStr">
        <is>
          <t>판매사업</t>
        </is>
      </c>
      <c r="C9" s="4" t="inlineStr">
        <is>
          <t>과채음료</t>
        </is>
      </c>
      <c r="D9" s="4" t="inlineStr">
        <is>
          <t>국산담은 포도</t>
        </is>
      </c>
      <c r="E9" s="6" t="inlineStr">
        <is>
          <t>8801448759633</t>
        </is>
      </c>
      <c r="F9" s="5" t="inlineStr">
        <is>
          <t>농협 국산담은 포도 100ml</t>
        </is>
      </c>
      <c r="G9" s="9" t="inlineStr">
        <is>
          <t>자임</t>
        </is>
      </c>
      <c r="H9" s="8" t="n">
        <v>46097</v>
      </c>
      <c r="J9" s="59" t="n">
        <v>0</v>
      </c>
      <c r="K9" s="62" t="n">
        <v>35910</v>
      </c>
      <c r="L9" s="62" t="n">
        <v>45364</v>
      </c>
      <c r="M9" s="62" t="n">
        <v>46545</v>
      </c>
      <c r="N9" s="63" t="n">
        <v>251264</v>
      </c>
      <c r="O9" s="63" t="n">
        <v>281365</v>
      </c>
      <c r="P9" s="63" t="n">
        <v>98820</v>
      </c>
      <c r="Q9" s="63" t="n">
        <v>71820</v>
      </c>
      <c r="R9" t="n">
        <v>99092</v>
      </c>
      <c r="S9" t="n">
        <v>333818</v>
      </c>
    </row>
    <row r="10">
      <c r="A10" s="3" t="n"/>
      <c r="B10" s="4" t="inlineStr">
        <is>
          <t>판매사업</t>
        </is>
      </c>
      <c r="C10" s="4" t="inlineStr">
        <is>
          <t>쌀시리얼</t>
        </is>
      </c>
      <c r="D10" s="4" t="inlineStr">
        <is>
          <t>쌀시리얼</t>
        </is>
      </c>
      <c r="E10" s="6" t="inlineStr">
        <is>
          <t>8801448768406</t>
        </is>
      </c>
      <c r="F10" s="5" t="inlineStr">
        <is>
          <t>농협 저당 쌀 시리얼280g</t>
        </is>
      </c>
      <c r="G10" s="9" t="inlineStr">
        <is>
          <t>북전주농협</t>
        </is>
      </c>
      <c r="H10" s="8" t="n">
        <v>46198</v>
      </c>
      <c r="J10" s="59" t="n">
        <v>3384110</v>
      </c>
      <c r="K10" s="62" t="n">
        <v>4013564</v>
      </c>
      <c r="L10" s="62" t="n">
        <v>4009839</v>
      </c>
      <c r="M10" s="62" t="n">
        <v>5678639</v>
      </c>
      <c r="N10" s="63" t="n">
        <v>2408258</v>
      </c>
      <c r="O10" s="63" t="n">
        <v>1335357</v>
      </c>
      <c r="P10" s="63" t="n">
        <v>1732748</v>
      </c>
      <c r="Q10" s="63" t="n">
        <v>1184918</v>
      </c>
      <c r="R10" t="n">
        <v>1209289</v>
      </c>
      <c r="S10" t="n">
        <v>974038</v>
      </c>
    </row>
    <row r="11" hidden="1" s="60">
      <c r="A11" s="3" t="n"/>
      <c r="B11" s="4" t="inlineStr">
        <is>
          <t>단순판매</t>
        </is>
      </c>
      <c r="C11" s="12" t="inlineStr">
        <is>
          <t>(단순)냉면</t>
        </is>
      </c>
      <c r="D11" s="12" t="inlineStr">
        <is>
          <t>(단순)물냉면</t>
        </is>
      </c>
      <c r="E11" s="20" t="inlineStr">
        <is>
          <t>8801074802161</t>
        </is>
      </c>
      <c r="F11" s="9" t="inlineStr">
        <is>
          <t>한성 평양 물냉면 s 900g</t>
        </is>
      </c>
      <c r="G11" s="9" t="inlineStr">
        <is>
          <t>한성기업</t>
        </is>
      </c>
      <c r="H11" s="8" t="n">
        <v>46164</v>
      </c>
      <c r="J11" s="59" t="n">
        <v>4620447</v>
      </c>
      <c r="K11" s="62" t="n">
        <v>3567849</v>
      </c>
      <c r="L11" s="62" t="n">
        <v>1335833</v>
      </c>
      <c r="M11" s="62" t="n">
        <v>1343829</v>
      </c>
      <c r="N11" s="63" t="n">
        <v>510000</v>
      </c>
      <c r="O11" s="63" t="n">
        <v>110000</v>
      </c>
      <c r="P11" s="63" t="n">
        <v>0</v>
      </c>
      <c r="Q11" s="63" t="n">
        <v>385000</v>
      </c>
      <c r="R11" t="n">
        <v>10000</v>
      </c>
      <c r="S11" t="n">
        <v>5000</v>
      </c>
    </row>
    <row r="12" hidden="1" s="60">
      <c r="A12" s="3" t="n"/>
      <c r="B12" s="4" t="inlineStr">
        <is>
          <t>단순판매</t>
        </is>
      </c>
      <c r="C12" s="12" t="inlineStr">
        <is>
          <t>(단순)냉면</t>
        </is>
      </c>
      <c r="D12" s="12" t="inlineStr">
        <is>
          <t>(단순)비빔냉면</t>
        </is>
      </c>
      <c r="E12" s="20" t="inlineStr">
        <is>
          <t>8801074802567</t>
        </is>
      </c>
      <c r="F12" s="9" t="inlineStr">
        <is>
          <t>한성 함흥 비빔냉면s 400g</t>
        </is>
      </c>
      <c r="G12" s="9" t="inlineStr">
        <is>
          <t>한성기업</t>
        </is>
      </c>
      <c r="H12" s="8" t="n">
        <v>46164</v>
      </c>
      <c r="J12" s="59" t="n">
        <v>2058704</v>
      </c>
      <c r="K12" s="62" t="n">
        <v>2286975</v>
      </c>
      <c r="L12" s="62" t="n">
        <v>1027236</v>
      </c>
      <c r="M12" s="62" t="n">
        <v>1079824</v>
      </c>
      <c r="N12" s="63" t="n">
        <v>370000</v>
      </c>
      <c r="O12" s="63" t="n">
        <v>80000</v>
      </c>
      <c r="P12" s="63" t="n">
        <v>-40000</v>
      </c>
      <c r="Q12" s="63" t="n">
        <v>355000</v>
      </c>
      <c r="R12" t="n">
        <v>90000</v>
      </c>
      <c r="S12" t="n">
        <v>0</v>
      </c>
    </row>
    <row r="13">
      <c r="A13" s="3" t="n"/>
      <c r="B13" s="4" t="inlineStr">
        <is>
          <t>판매사업</t>
        </is>
      </c>
      <c r="C13" s="12" t="inlineStr">
        <is>
          <t>대외용두부</t>
        </is>
      </c>
      <c r="D13" s="12" t="inlineStr">
        <is>
          <t>대외 투컵두부 부침</t>
        </is>
      </c>
      <c r="E13" s="9" t="inlineStr">
        <is>
          <t>TR282575</t>
        </is>
      </c>
      <c r="F13" s="9" t="inlineStr">
        <is>
          <t>(대외)농협국산콩두부(부침용) 300g*2</t>
        </is>
      </c>
      <c r="G13" s="9" t="inlineStr">
        <is>
          <t>기린원당농협</t>
        </is>
      </c>
      <c r="H13" s="8" t="n">
        <v>46174</v>
      </c>
      <c r="I13" s="9" t="inlineStr">
        <is>
          <t>온라인</t>
        </is>
      </c>
      <c r="J13" s="59" t="n">
        <v>0</v>
      </c>
      <c r="K13" s="62" t="n">
        <v>0</v>
      </c>
      <c r="L13" s="62" t="n">
        <v>0</v>
      </c>
      <c r="M13" s="62" t="n">
        <v>0</v>
      </c>
      <c r="N13" s="63" t="n">
        <v>0</v>
      </c>
      <c r="O13" s="63" t="n">
        <v>0</v>
      </c>
      <c r="P13" s="63" t="n">
        <v>0</v>
      </c>
      <c r="Q13" s="63" t="n">
        <v>2193920</v>
      </c>
      <c r="R13" t="n">
        <v>0</v>
      </c>
      <c r="S13" t="n">
        <v>0</v>
      </c>
    </row>
    <row r="14">
      <c r="A14" s="3" t="n"/>
      <c r="B14" s="4" t="inlineStr">
        <is>
          <t>판매사업</t>
        </is>
      </c>
      <c r="C14" s="12" t="inlineStr">
        <is>
          <t>대외용두부</t>
        </is>
      </c>
      <c r="D14" s="12" t="inlineStr">
        <is>
          <t>대외 투컵두부 부찌</t>
        </is>
      </c>
      <c r="E14" s="9" t="inlineStr">
        <is>
          <t>TR282582</t>
        </is>
      </c>
      <c r="F14" s="9" t="inlineStr">
        <is>
          <t>(대외) 농협국산콩두부 부침찌개겸용 300g*2</t>
        </is>
      </c>
      <c r="G14" s="9" t="inlineStr">
        <is>
          <t>기린원당농협</t>
        </is>
      </c>
      <c r="H14" s="8" t="n">
        <v>46174</v>
      </c>
      <c r="I14" s="9" t="inlineStr">
        <is>
          <t>온라인</t>
        </is>
      </c>
      <c r="J14" s="59" t="n">
        <v>0</v>
      </c>
      <c r="K14" s="62" t="n">
        <v>0</v>
      </c>
      <c r="L14" s="62" t="n">
        <v>0</v>
      </c>
      <c r="M14" s="62" t="n">
        <v>0</v>
      </c>
      <c r="N14" s="63" t="n">
        <v>0</v>
      </c>
      <c r="O14" s="63" t="n">
        <v>0</v>
      </c>
      <c r="P14" s="63" t="n">
        <v>0</v>
      </c>
      <c r="Q14" s="63" t="n">
        <v>1552800</v>
      </c>
      <c r="R14" t="n">
        <v>0</v>
      </c>
      <c r="S14" t="n">
        <v>0</v>
      </c>
    </row>
    <row r="15" hidden="1" s="60">
      <c r="A15" s="3" t="n"/>
      <c r="B15" s="4" t="inlineStr">
        <is>
          <t>단순판매</t>
        </is>
      </c>
      <c r="C15" s="12" t="inlineStr">
        <is>
          <t>(단순)깐양파</t>
        </is>
      </c>
      <c r="D15" s="12" t="inlineStr">
        <is>
          <t>(단순)깐양파</t>
        </is>
      </c>
      <c r="E15" s="20" t="inlineStr">
        <is>
          <t>8801448171077</t>
        </is>
      </c>
      <c r="F15" s="9" t="inlineStr">
        <is>
          <t>깐양파 450g</t>
        </is>
      </c>
      <c r="G15" s="9" t="inlineStr">
        <is>
          <t>농협안성물류</t>
        </is>
      </c>
      <c r="H15" s="8" t="n">
        <v>46181</v>
      </c>
      <c r="J15" s="59" t="n">
        <v>0</v>
      </c>
      <c r="K15" s="62" t="n">
        <v>0</v>
      </c>
      <c r="L15" s="62" t="n">
        <v>0</v>
      </c>
      <c r="M15" s="62" t="n">
        <v>0</v>
      </c>
      <c r="N15" s="63" t="n">
        <v>0</v>
      </c>
      <c r="O15" s="63" t="n">
        <v>0</v>
      </c>
      <c r="P15" s="63" t="n">
        <v>0</v>
      </c>
      <c r="Q15" s="63" t="n">
        <v>0</v>
      </c>
      <c r="R15" t="n">
        <v>0</v>
      </c>
      <c r="S15" t="n">
        <v>0</v>
      </c>
    </row>
    <row r="16" ht="15.6" customHeight="1" s="60">
      <c r="A16" s="3" t="n"/>
      <c r="B16" s="4" t="inlineStr">
        <is>
          <t>판매사업</t>
        </is>
      </c>
      <c r="C16" s="12" t="inlineStr">
        <is>
          <t>전통식혜</t>
        </is>
      </c>
      <c r="D16" s="12" t="inlineStr">
        <is>
          <t>전통식혜</t>
        </is>
      </c>
      <c r="E16" s="20" t="inlineStr">
        <is>
          <t>8801448768673</t>
        </is>
      </c>
      <c r="F16" s="9" t="inlineStr">
        <is>
          <t>농협 식혜 眞 1.5L PET</t>
        </is>
      </c>
      <c r="G16" s="9" t="inlineStr">
        <is>
          <t>동밀양농협</t>
        </is>
      </c>
      <c r="H16" s="8" t="n">
        <v>46204</v>
      </c>
      <c r="J16" s="59" t="n">
        <v>4084363</v>
      </c>
      <c r="K16" s="62" t="n">
        <v>2877939</v>
      </c>
      <c r="L16" s="62" t="n">
        <v>612115</v>
      </c>
      <c r="M16" s="62" t="n">
        <v>6152396</v>
      </c>
      <c r="N16" s="63" t="n">
        <v>6542910</v>
      </c>
      <c r="O16" s="63" t="n">
        <v>17903304</v>
      </c>
      <c r="P16" s="63" t="n">
        <v>43628245</v>
      </c>
      <c r="Q16" s="63" t="n">
        <v>12695388</v>
      </c>
      <c r="R16" t="n">
        <v>1518449</v>
      </c>
      <c r="S16" t="n">
        <v>2820788</v>
      </c>
    </row>
    <row r="17">
      <c r="A17" s="3" t="n"/>
      <c r="B17" s="4" t="inlineStr">
        <is>
          <t>판매사업</t>
        </is>
      </c>
      <c r="C17" s="12" t="inlineStr">
        <is>
          <t>대외용김치</t>
        </is>
      </c>
      <c r="D17" s="12" t="inlineStr">
        <is>
          <t>대외 포기 8kg</t>
        </is>
      </c>
      <c r="E17" s="20" t="inlineStr">
        <is>
          <t>8801448767522</t>
        </is>
      </c>
      <c r="F17" s="9" t="inlineStr">
        <is>
          <t>한국농협김치 우리땅 포기김치 8kg</t>
        </is>
      </c>
      <c r="G17" s="9" t="inlineStr">
        <is>
          <t>한국농협김치조합공동사업 충북지사</t>
        </is>
      </c>
      <c r="H17" s="8" t="n">
        <v>46204</v>
      </c>
      <c r="J17" s="59" t="n">
        <v>0</v>
      </c>
      <c r="K17" s="62" t="n">
        <v>0</v>
      </c>
      <c r="L17" s="62" t="n">
        <v>0</v>
      </c>
      <c r="M17" s="62" t="n">
        <v>0</v>
      </c>
      <c r="N17" s="63" t="n">
        <v>0</v>
      </c>
      <c r="O17" s="63" t="n">
        <v>0</v>
      </c>
      <c r="P17" s="63" t="n">
        <v>0</v>
      </c>
      <c r="Q17" s="63" t="n">
        <v>1384816</v>
      </c>
      <c r="R17" t="n">
        <v>0</v>
      </c>
      <c r="S17" t="n">
        <v>0</v>
      </c>
    </row>
    <row r="18">
      <c r="A18" s="3" t="n"/>
      <c r="B18" s="4" t="inlineStr">
        <is>
          <t>판매사업</t>
        </is>
      </c>
      <c r="C18" s="12" t="inlineStr">
        <is>
          <t>대외용김치</t>
        </is>
      </c>
      <c r="D18" s="12" t="inlineStr">
        <is>
          <t>대외 포기 5kg</t>
        </is>
      </c>
      <c r="E18" s="20" t="inlineStr">
        <is>
          <t>8801448767539</t>
        </is>
      </c>
      <c r="F18" s="9" t="inlineStr">
        <is>
          <t>한국농협김치 우리땅 포기김치 5kg</t>
        </is>
      </c>
      <c r="G18" s="9" t="inlineStr">
        <is>
          <t>한국농협김치조합공동사업 충북지사</t>
        </is>
      </c>
      <c r="H18" s="8" t="n">
        <v>46204</v>
      </c>
      <c r="J18" s="59" t="n">
        <v>0</v>
      </c>
      <c r="K18" s="62" t="n">
        <v>0</v>
      </c>
      <c r="L18" s="62" t="n">
        <v>0</v>
      </c>
      <c r="M18" s="62" t="n">
        <v>0</v>
      </c>
      <c r="N18" s="63" t="n">
        <v>0</v>
      </c>
      <c r="O18" s="63" t="n">
        <v>0</v>
      </c>
      <c r="P18" s="63" t="n">
        <v>0</v>
      </c>
      <c r="Q18" s="63" t="n">
        <v>1024864</v>
      </c>
      <c r="R18" t="n">
        <v>0</v>
      </c>
      <c r="S18" t="n">
        <v>0</v>
      </c>
    </row>
    <row r="19">
      <c r="A19" s="3" t="n"/>
      <c r="B19" s="4" t="inlineStr">
        <is>
          <t>판매사업</t>
        </is>
      </c>
      <c r="C19" s="12" t="inlineStr">
        <is>
          <t>대외용김치</t>
        </is>
      </c>
      <c r="D19" s="12" t="inlineStr">
        <is>
          <t>대외 열무김치</t>
        </is>
      </c>
      <c r="E19" s="20" t="inlineStr">
        <is>
          <t>8801448767546</t>
        </is>
      </c>
      <c r="F19" s="9" t="inlineStr">
        <is>
          <t>한국농협김치 열무김치 900g</t>
        </is>
      </c>
      <c r="G19" s="9" t="inlineStr">
        <is>
          <t>한국농협김치조합공동사업법인 전남</t>
        </is>
      </c>
      <c r="H19" s="8" t="n">
        <v>46204</v>
      </c>
      <c r="J19" s="59" t="n">
        <v>0</v>
      </c>
      <c r="K19" s="62" t="n">
        <v>0</v>
      </c>
      <c r="L19" s="62" t="n">
        <v>0</v>
      </c>
      <c r="M19" s="62" t="n">
        <v>0</v>
      </c>
      <c r="N19" s="63" t="n">
        <v>0</v>
      </c>
      <c r="O19" s="63" t="n">
        <v>0</v>
      </c>
      <c r="P19" s="63" t="n">
        <v>0</v>
      </c>
      <c r="Q19" s="63" t="n">
        <v>446900</v>
      </c>
      <c r="R19" t="n">
        <v>0</v>
      </c>
      <c r="S19" t="n">
        <v>0</v>
      </c>
    </row>
    <row r="20">
      <c r="A20" s="3" t="n"/>
      <c r="B20" s="4" t="inlineStr">
        <is>
          <t>판매사업</t>
        </is>
      </c>
      <c r="C20" s="12" t="inlineStr">
        <is>
          <t>대외용김치</t>
        </is>
      </c>
      <c r="D20" s="12" t="inlineStr">
        <is>
          <t>대외 총각김치</t>
        </is>
      </c>
      <c r="E20" s="20" t="inlineStr">
        <is>
          <t>8801448767553</t>
        </is>
      </c>
      <c r="F20" s="9" t="inlineStr">
        <is>
          <t>한국농협김치 총각김치 900g</t>
        </is>
      </c>
      <c r="G20" s="9" t="inlineStr">
        <is>
          <t>한국농협김치조합공동사업법인 전남</t>
        </is>
      </c>
      <c r="H20" s="8" t="n">
        <v>46204</v>
      </c>
      <c r="J20" s="59" t="n">
        <v>0</v>
      </c>
      <c r="K20" s="62" t="n">
        <v>0</v>
      </c>
      <c r="L20" s="62" t="n">
        <v>0</v>
      </c>
      <c r="M20" s="62" t="n">
        <v>0</v>
      </c>
      <c r="N20" s="63" t="n">
        <v>0</v>
      </c>
      <c r="O20" s="63" t="n">
        <v>0</v>
      </c>
      <c r="P20" s="63" t="n">
        <v>0</v>
      </c>
      <c r="Q20" s="63" t="n">
        <v>995160</v>
      </c>
      <c r="R20" t="n">
        <v>0</v>
      </c>
      <c r="S20" t="n">
        <v>0</v>
      </c>
    </row>
    <row r="21">
      <c r="A21" s="3" t="n"/>
      <c r="B21" s="4" t="inlineStr">
        <is>
          <t>판매사업</t>
        </is>
      </c>
      <c r="C21" s="12" t="inlineStr">
        <is>
          <t>대외용김치</t>
        </is>
      </c>
      <c r="D21" s="12" t="inlineStr">
        <is>
          <t>대외 갓김치</t>
        </is>
      </c>
      <c r="E21" s="20" t="inlineStr">
        <is>
          <t>8801448767591</t>
        </is>
      </c>
      <c r="F21" s="9" t="inlineStr">
        <is>
          <t>한국농협김치 갓김치 900g</t>
        </is>
      </c>
      <c r="G21" s="9" t="inlineStr">
        <is>
          <t>한국농협김치조합공동사업법인 전남</t>
        </is>
      </c>
      <c r="H21" s="8" t="n">
        <v>46204</v>
      </c>
      <c r="J21" s="59" t="n">
        <v>0</v>
      </c>
      <c r="K21" s="62" t="n">
        <v>0</v>
      </c>
      <c r="L21" s="62" t="n">
        <v>0</v>
      </c>
      <c r="M21" s="62" t="n">
        <v>0</v>
      </c>
      <c r="N21" s="63" t="n">
        <v>0</v>
      </c>
      <c r="O21" s="63" t="n">
        <v>0</v>
      </c>
      <c r="P21" s="63" t="n">
        <v>0</v>
      </c>
      <c r="Q21" s="63" t="n">
        <v>456540</v>
      </c>
      <c r="R21" t="n">
        <v>0</v>
      </c>
      <c r="S21" t="n">
        <v>0</v>
      </c>
    </row>
    <row r="22">
      <c r="A22" s="3" t="n"/>
      <c r="B22" s="11" t="inlineStr">
        <is>
          <t>판매사업</t>
        </is>
      </c>
      <c r="C22" s="12" t="inlineStr">
        <is>
          <t>매실청</t>
        </is>
      </c>
      <c r="D22" s="12" t="inlineStr">
        <is>
          <t>매실청</t>
        </is>
      </c>
      <c r="E22" s="11" t="inlineStr">
        <is>
          <t>8801448769588</t>
        </is>
      </c>
      <c r="F22" s="11" t="inlineStr">
        <is>
          <t>농협 발효 매실청 510g</t>
        </is>
      </c>
      <c r="G22" s="13" t="inlineStr">
        <is>
          <t>티디바인</t>
        </is>
      </c>
      <c r="H22" s="8" t="n">
        <v>46266</v>
      </c>
      <c r="J22" s="59" t="n">
        <v>0</v>
      </c>
      <c r="K22" s="62" t="n">
        <v>0</v>
      </c>
      <c r="L22" s="62" t="n">
        <v>0</v>
      </c>
      <c r="M22" s="62" t="n">
        <v>0</v>
      </c>
      <c r="N22" s="63" t="n">
        <v>1723892</v>
      </c>
      <c r="O22" s="63" t="n">
        <v>96809</v>
      </c>
      <c r="P22" s="63" t="n">
        <v>0</v>
      </c>
      <c r="Q22" s="63" t="n">
        <v>76910</v>
      </c>
      <c r="R22" t="n">
        <v>499915</v>
      </c>
      <c r="S22" t="n">
        <v>692188</v>
      </c>
    </row>
    <row r="23" hidden="1" s="60">
      <c r="A23" s="3" t="n"/>
      <c r="B23" s="11" t="inlineStr">
        <is>
          <t>단순판매</t>
        </is>
      </c>
      <c r="C23" s="12" t="inlineStr">
        <is>
          <t>(단순)스틱새우젓</t>
        </is>
      </c>
      <c r="D23" s="12" t="inlineStr">
        <is>
          <t>(단순)스틱새우젓</t>
        </is>
      </c>
      <c r="E23" s="11" t="inlineStr">
        <is>
          <t>8809403761288</t>
        </is>
      </c>
      <c r="F23" s="11" t="inlineStr">
        <is>
          <t>한숟갈 새우젓 100g(20g*5포)</t>
        </is>
      </c>
      <c r="G23" s="13" t="inlineStr">
        <is>
          <t>서해글로벌</t>
        </is>
      </c>
      <c r="H23" s="8" t="n">
        <v>46217</v>
      </c>
      <c r="J23" s="59" t="n">
        <v>24546</v>
      </c>
      <c r="K23" s="62" t="n">
        <v>7364</v>
      </c>
      <c r="L23" s="62" t="n">
        <v>98183</v>
      </c>
      <c r="M23" s="62" t="n">
        <v>0</v>
      </c>
      <c r="N23" s="63" t="n">
        <v>73637</v>
      </c>
      <c r="O23" s="63" t="n">
        <v>24546</v>
      </c>
      <c r="P23" s="63" t="n">
        <v>61365</v>
      </c>
      <c r="Q23" s="63" t="n">
        <v>24546</v>
      </c>
      <c r="R23" t="n">
        <v>24546</v>
      </c>
      <c r="S23" t="n">
        <v>0</v>
      </c>
    </row>
    <row r="24" hidden="1" s="60">
      <c r="A24" s="3" t="n"/>
      <c r="B24" s="11" t="inlineStr">
        <is>
          <t>단순판매</t>
        </is>
      </c>
      <c r="C24" s="12" t="inlineStr">
        <is>
          <t>(단순)황홀태</t>
        </is>
      </c>
      <c r="D24" s="12" t="inlineStr">
        <is>
          <t>(단순)황홀태</t>
        </is>
      </c>
      <c r="E24" s="11" t="inlineStr">
        <is>
          <t>8809090186722</t>
        </is>
      </c>
      <c r="F24" s="11" t="inlineStr">
        <is>
          <t>황홀태 스탠드 60g</t>
        </is>
      </c>
      <c r="G24" s="13" t="inlineStr">
        <is>
          <t>선해수산</t>
        </is>
      </c>
      <c r="H24" s="8" t="n">
        <v>46217</v>
      </c>
      <c r="J24" s="59" t="n">
        <v>463640</v>
      </c>
      <c r="K24" s="62" t="n">
        <v>1219370</v>
      </c>
      <c r="L24" s="62" t="n">
        <v>115910</v>
      </c>
      <c r="M24" s="62" t="n">
        <v>97364</v>
      </c>
      <c r="N24" s="63" t="n">
        <v>395729</v>
      </c>
      <c r="O24" s="63" t="n">
        <v>55747</v>
      </c>
      <c r="P24" s="63" t="n">
        <v>557456</v>
      </c>
      <c r="Q24" s="63" t="n">
        <v>159274</v>
      </c>
      <c r="R24" t="n">
        <v>37092</v>
      </c>
      <c r="S24" t="n">
        <v>146201</v>
      </c>
    </row>
    <row r="25">
      <c r="A25" s="3" t="n"/>
      <c r="B25" s="11" t="inlineStr">
        <is>
          <t>판매사업</t>
        </is>
      </c>
      <c r="C25" s="12" t="inlineStr">
        <is>
          <t>5무오리훈제</t>
        </is>
      </c>
      <c r="D25" s="12" t="inlineStr">
        <is>
          <t>5무오리훈제</t>
        </is>
      </c>
      <c r="E25" s="11" t="inlineStr">
        <is>
          <t>8801448775688</t>
        </is>
      </c>
      <c r="F25" s="11" t="inlineStr">
        <is>
          <t>농협 5무 훈제오리 바비큐 슬라이스400g</t>
        </is>
      </c>
      <c r="G25" s="13" t="inlineStr">
        <is>
          <t>일영이푸드</t>
        </is>
      </c>
      <c r="H25" s="8" t="n">
        <v>46237</v>
      </c>
      <c r="J25" s="59" t="n">
        <v>2053278</v>
      </c>
      <c r="K25" s="62" t="n">
        <v>20497066</v>
      </c>
      <c r="L25" s="62" t="n">
        <v>24926461</v>
      </c>
      <c r="M25" s="62" t="n">
        <v>60399057</v>
      </c>
      <c r="N25" s="63" t="n">
        <v>63238954</v>
      </c>
      <c r="O25" s="63" t="n">
        <v>50745889</v>
      </c>
      <c r="P25" s="63" t="n">
        <v>50567436</v>
      </c>
      <c r="Q25" s="63" t="n">
        <v>34304045</v>
      </c>
      <c r="R25" t="n">
        <v>38907168</v>
      </c>
      <c r="S25" t="n">
        <v>47868010</v>
      </c>
    </row>
    <row r="26">
      <c r="A26" s="3" t="n"/>
      <c r="B26" s="11" t="inlineStr">
        <is>
          <t>판매사업</t>
        </is>
      </c>
      <c r="C26" s="12" t="inlineStr">
        <is>
          <t>통통만두</t>
        </is>
      </c>
      <c r="D26" s="12" t="inlineStr">
        <is>
          <t>통통김치교자</t>
        </is>
      </c>
      <c r="E26" s="11" t="inlineStr">
        <is>
          <t>8801448773585</t>
        </is>
      </c>
      <c r="F26" s="11" t="inlineStr">
        <is>
          <t>농협 통통 김치교자 805g</t>
        </is>
      </c>
      <c r="G26" s="13" t="inlineStr">
        <is>
          <t>엄지식품</t>
        </is>
      </c>
      <c r="H26" s="8" t="n">
        <v>46244</v>
      </c>
      <c r="J26" s="59" t="n">
        <v>0</v>
      </c>
      <c r="K26" s="62" t="n">
        <v>0</v>
      </c>
      <c r="L26" s="62" t="n">
        <v>486768</v>
      </c>
      <c r="M26" s="62" t="n">
        <v>790117</v>
      </c>
      <c r="N26" s="63" t="n">
        <v>573923</v>
      </c>
      <c r="O26" s="63" t="n">
        <v>1083723</v>
      </c>
      <c r="P26" s="63" t="n">
        <v>936512</v>
      </c>
      <c r="Q26" s="63" t="n">
        <v>684501</v>
      </c>
      <c r="R26" t="n">
        <v>596514</v>
      </c>
      <c r="S26" t="n">
        <v>1893583</v>
      </c>
    </row>
    <row r="27">
      <c r="A27" s="3" t="n"/>
      <c r="B27" s="11" t="inlineStr">
        <is>
          <t>판매사업</t>
        </is>
      </c>
      <c r="C27" s="12" t="inlineStr">
        <is>
          <t>통통만두</t>
        </is>
      </c>
      <c r="D27" s="12" t="inlineStr">
        <is>
          <t>통통고기교자</t>
        </is>
      </c>
      <c r="E27" s="11" t="inlineStr">
        <is>
          <t>8801448773592</t>
        </is>
      </c>
      <c r="F27" s="11" t="inlineStr">
        <is>
          <t>농협 통통 고기교자 805g</t>
        </is>
      </c>
      <c r="G27" s="13" t="inlineStr">
        <is>
          <t>엄지식품</t>
        </is>
      </c>
      <c r="H27" s="8" t="n">
        <v>46244</v>
      </c>
      <c r="J27" s="59" t="n">
        <v>0</v>
      </c>
      <c r="K27" s="62" t="n">
        <v>0</v>
      </c>
      <c r="L27" s="62" t="n">
        <v>557314</v>
      </c>
      <c r="M27" s="62" t="n">
        <v>1149901</v>
      </c>
      <c r="N27" s="63" t="n">
        <v>678706</v>
      </c>
      <c r="O27" s="63" t="n">
        <v>1354380</v>
      </c>
      <c r="P27" s="63" t="n">
        <v>1237805</v>
      </c>
      <c r="Q27" s="63" t="n">
        <v>748023</v>
      </c>
      <c r="R27" t="n">
        <v>949645</v>
      </c>
      <c r="S27" t="n">
        <v>2358077</v>
      </c>
    </row>
    <row r="28">
      <c r="A28" s="3" t="n"/>
      <c r="B28" s="11" t="inlineStr">
        <is>
          <t>판매사업</t>
        </is>
      </c>
      <c r="C28" s="12" t="inlineStr">
        <is>
          <t>통통만두</t>
        </is>
      </c>
      <c r="D28" s="12" t="inlineStr">
        <is>
          <t>통통물만두</t>
        </is>
      </c>
      <c r="E28" s="11" t="inlineStr">
        <is>
          <t>8801448773608</t>
        </is>
      </c>
      <c r="F28" s="11" t="inlineStr">
        <is>
          <t>농협 통통 물만두 650g</t>
        </is>
      </c>
      <c r="G28" s="13" t="inlineStr">
        <is>
          <t>엄지식품</t>
        </is>
      </c>
      <c r="H28" s="8" t="n">
        <v>46244</v>
      </c>
      <c r="J28" s="59" t="n">
        <v>0</v>
      </c>
      <c r="K28" s="62" t="n">
        <v>0</v>
      </c>
      <c r="L28" s="62" t="n">
        <v>395025</v>
      </c>
      <c r="M28" s="62" t="n">
        <v>862374</v>
      </c>
      <c r="N28" s="63" t="n">
        <v>797938</v>
      </c>
      <c r="O28" s="63" t="n">
        <v>669461</v>
      </c>
      <c r="P28" s="63" t="n">
        <v>1181720</v>
      </c>
      <c r="Q28" s="63" t="n">
        <v>901758</v>
      </c>
      <c r="R28" t="n">
        <v>686692</v>
      </c>
      <c r="S28" t="n">
        <v>1513031</v>
      </c>
    </row>
    <row r="29" hidden="1" s="60">
      <c r="A29" s="3" t="n"/>
      <c r="B29" s="11" t="inlineStr">
        <is>
          <t>단순판매</t>
        </is>
      </c>
      <c r="C29" s="12" t="inlineStr">
        <is>
          <t>(단순)블루베리즙</t>
        </is>
      </c>
      <c r="D29" s="12" t="inlineStr">
        <is>
          <t>(단순)블루베리즙</t>
        </is>
      </c>
      <c r="E29" s="21" t="inlineStr">
        <is>
          <t>8809396447954</t>
        </is>
      </c>
      <c r="F29" s="9" t="inlineStr">
        <is>
          <t>하루하나 블루베리 100% 20g*14포</t>
        </is>
      </c>
      <c r="G29" s="9" t="inlineStr">
        <is>
          <t>자임에프엔비</t>
        </is>
      </c>
      <c r="H29" s="8" t="n">
        <v>46235</v>
      </c>
      <c r="J29" s="59" t="n">
        <v>0</v>
      </c>
      <c r="K29" s="62" t="n">
        <v>0</v>
      </c>
      <c r="L29" s="62" t="n">
        <v>93682</v>
      </c>
      <c r="M29" s="62" t="n">
        <v>72864</v>
      </c>
      <c r="N29" s="63" t="n">
        <v>145728</v>
      </c>
      <c r="O29" s="63" t="n">
        <v>305456</v>
      </c>
      <c r="P29" s="63" t="n">
        <v>427638</v>
      </c>
      <c r="Q29" s="63" t="n">
        <v>320730</v>
      </c>
      <c r="R29" t="n">
        <v>291455</v>
      </c>
      <c r="S29" t="n">
        <v>291456</v>
      </c>
    </row>
    <row r="30" hidden="1" s="60">
      <c r="A30" s="3" t="n"/>
      <c r="B30" s="11" t="inlineStr">
        <is>
          <t>단순판매</t>
        </is>
      </c>
      <c r="C30" s="12" t="inlineStr">
        <is>
          <t>양파즙</t>
        </is>
      </c>
      <c r="D30" s="12" t="inlineStr">
        <is>
          <t>(단순)율곡양파즙</t>
        </is>
      </c>
      <c r="E30" s="11" t="inlineStr">
        <is>
          <t>G2500217</t>
        </is>
      </c>
      <c r="F30" s="9" t="inlineStr">
        <is>
          <t>(특판) 율곡농협 양파즙 100ml * 50포</t>
        </is>
      </c>
      <c r="G30" s="9" t="inlineStr">
        <is>
          <t>율곡농협</t>
        </is>
      </c>
      <c r="H30" s="8" t="n">
        <v>46217</v>
      </c>
      <c r="J30" s="59" t="n">
        <v>0</v>
      </c>
      <c r="K30" s="62" t="n">
        <v>0</v>
      </c>
      <c r="L30" s="62" t="n">
        <v>0</v>
      </c>
      <c r="M30" s="62" t="n">
        <v>0</v>
      </c>
      <c r="N30" s="63" t="n">
        <v>0</v>
      </c>
      <c r="O30" s="63" t="n">
        <v>0</v>
      </c>
      <c r="P30" s="63" t="n">
        <v>0</v>
      </c>
      <c r="Q30" s="63" t="n">
        <v>0</v>
      </c>
      <c r="R30" t="n">
        <v>0</v>
      </c>
      <c r="S30" t="n">
        <v>0</v>
      </c>
    </row>
    <row r="31" hidden="1" s="60">
      <c r="A31" s="3" t="n"/>
      <c r="B31" s="11" t="inlineStr">
        <is>
          <t>단순판매</t>
        </is>
      </c>
      <c r="C31" s="12" t="inlineStr">
        <is>
          <t>양파즙</t>
        </is>
      </c>
      <c r="D31" s="12" t="inlineStr">
        <is>
          <t>(단순)홍성사과즙</t>
        </is>
      </c>
      <c r="E31" s="11" t="inlineStr">
        <is>
          <t>G2500218</t>
        </is>
      </c>
      <c r="F31" s="9" t="inlineStr">
        <is>
          <t>(특판) 홍성서부농협 사과즙 110ml * 50포</t>
        </is>
      </c>
      <c r="G31" s="9" t="inlineStr">
        <is>
          <t>홍성서부농협</t>
        </is>
      </c>
      <c r="H31" s="8" t="n">
        <v>46217</v>
      </c>
      <c r="J31" s="59" t="n">
        <v>0</v>
      </c>
      <c r="K31" s="62" t="n">
        <v>0</v>
      </c>
      <c r="L31" s="62" t="n">
        <v>0</v>
      </c>
      <c r="M31" s="62" t="n">
        <v>0</v>
      </c>
      <c r="N31" s="63" t="n">
        <v>0</v>
      </c>
      <c r="O31" s="63" t="n">
        <v>0</v>
      </c>
      <c r="P31" s="63" t="n">
        <v>0</v>
      </c>
      <c r="Q31" s="63" t="n">
        <v>0</v>
      </c>
      <c r="R31" t="n">
        <v>0</v>
      </c>
      <c r="S31" t="n">
        <v>0</v>
      </c>
    </row>
    <row r="32">
      <c r="A32" s="3" t="n"/>
      <c r="B32" s="11" t="inlineStr">
        <is>
          <t>판매사업</t>
        </is>
      </c>
      <c r="C32" s="12" t="inlineStr">
        <is>
          <t>양파즙</t>
        </is>
      </c>
      <c r="D32" s="12" t="inlineStr">
        <is>
          <t>마천양파즙</t>
        </is>
      </c>
      <c r="E32" s="11" t="inlineStr">
        <is>
          <t>G2500219</t>
        </is>
      </c>
      <c r="F32" s="9" t="inlineStr">
        <is>
          <t>(특판 상호금융) 지리산마천농협 양파진액 80ml * 30포</t>
        </is>
      </c>
      <c r="G32" s="9" t="inlineStr">
        <is>
          <t>지리산마천농협</t>
        </is>
      </c>
      <c r="H32" s="8" t="n">
        <v>46225</v>
      </c>
      <c r="J32" s="59" t="n">
        <v>0</v>
      </c>
      <c r="K32" s="62" t="n">
        <v>0</v>
      </c>
      <c r="L32" s="62" t="n">
        <v>0</v>
      </c>
      <c r="M32" s="62" t="n">
        <v>0</v>
      </c>
      <c r="N32" s="63" t="n">
        <v>0</v>
      </c>
      <c r="O32" s="63" t="n">
        <v>0</v>
      </c>
      <c r="P32" s="63" t="n">
        <v>0</v>
      </c>
      <c r="Q32" s="63" t="n">
        <v>0</v>
      </c>
      <c r="R32" t="n">
        <v>0</v>
      </c>
      <c r="S32" t="n">
        <v>0</v>
      </c>
    </row>
    <row r="33">
      <c r="B33" s="11" t="inlineStr">
        <is>
          <t>판매사업</t>
        </is>
      </c>
      <c r="C33" s="12" t="inlineStr">
        <is>
          <t>양파즙</t>
        </is>
      </c>
      <c r="D33" s="12" t="inlineStr">
        <is>
          <t>율곡양파즙</t>
        </is>
      </c>
      <c r="E33" s="11" t="inlineStr">
        <is>
          <t>G2500220</t>
        </is>
      </c>
      <c r="F33" s="9" t="inlineStr">
        <is>
          <t>(특판 상호금융) 율곡농협 양파즙 100ml * 50포</t>
        </is>
      </c>
      <c r="G33" s="9" t="inlineStr">
        <is>
          <t>율곡농협</t>
        </is>
      </c>
      <c r="H33" s="8" t="n">
        <v>46225</v>
      </c>
      <c r="J33" s="59" t="n">
        <v>0</v>
      </c>
      <c r="K33" s="62" t="n">
        <v>0</v>
      </c>
      <c r="L33" s="62" t="n">
        <v>50909091</v>
      </c>
      <c r="M33" s="62" t="n">
        <v>0</v>
      </c>
      <c r="N33" s="63" t="n">
        <v>0</v>
      </c>
      <c r="O33" s="63" t="n">
        <v>0</v>
      </c>
      <c r="P33" s="63" t="n">
        <v>0</v>
      </c>
      <c r="Q33" s="63" t="n">
        <v>0</v>
      </c>
      <c r="R33" t="n">
        <v>0</v>
      </c>
      <c r="S33" t="n">
        <v>0</v>
      </c>
    </row>
    <row r="34" hidden="1" s="60">
      <c r="B34" s="11" t="inlineStr">
        <is>
          <t>단순판매</t>
        </is>
      </c>
      <c r="C34" s="9" t="inlineStr">
        <is>
          <t>(단순)과일즙</t>
        </is>
      </c>
      <c r="D34" s="9" t="inlineStr">
        <is>
          <t>(단순)포도즙</t>
        </is>
      </c>
      <c r="E34" s="21" t="inlineStr">
        <is>
          <t>8809097163559</t>
        </is>
      </c>
      <c r="F34" s="9" t="inlineStr">
        <is>
          <t>(특판) 한반도농협 생 포도주스</t>
        </is>
      </c>
      <c r="G34" s="9" t="inlineStr">
        <is>
          <t>한반도농업협동조합</t>
        </is>
      </c>
      <c r="H34" s="8" t="n">
        <v>46254</v>
      </c>
      <c r="J34" s="62" t="n">
        <v>0</v>
      </c>
      <c r="K34" s="62" t="n">
        <v>0</v>
      </c>
      <c r="L34" s="62" t="n">
        <v>0</v>
      </c>
      <c r="M34" s="62" t="n">
        <v>36000000</v>
      </c>
      <c r="N34" s="63" t="n">
        <v>0</v>
      </c>
      <c r="O34" s="63" t="n">
        <v>0</v>
      </c>
      <c r="P34" s="63" t="n">
        <v>0</v>
      </c>
      <c r="Q34" s="63" t="n">
        <v>0</v>
      </c>
      <c r="R34" t="n">
        <v>0</v>
      </c>
      <c r="S34" t="n">
        <v>0</v>
      </c>
    </row>
    <row r="35" hidden="1" s="60">
      <c r="B35" s="11" t="inlineStr">
        <is>
          <t>단순판매</t>
        </is>
      </c>
      <c r="C35" s="9" t="inlineStr">
        <is>
          <t>(단순)과일즙</t>
        </is>
      </c>
      <c r="D35" s="9" t="inlineStr">
        <is>
          <t>(단순)도라지배즙</t>
        </is>
      </c>
      <c r="E35" s="21" t="inlineStr">
        <is>
          <t>8809114981425</t>
        </is>
      </c>
      <c r="F35" s="9" t="inlineStr">
        <is>
          <t>(특판) 나주배원예농협 도라지배즙</t>
        </is>
      </c>
      <c r="G35" s="9" t="inlineStr">
        <is>
          <t>나주배 원예농업협동조합</t>
        </is>
      </c>
      <c r="H35" s="8" t="n">
        <v>46254</v>
      </c>
      <c r="J35" s="62" t="n">
        <v>0</v>
      </c>
      <c r="K35" s="62" t="n">
        <v>0</v>
      </c>
      <c r="L35" s="62" t="n">
        <v>0</v>
      </c>
      <c r="M35" s="62" t="n">
        <v>98040000</v>
      </c>
      <c r="N35" s="63" t="n">
        <v>0</v>
      </c>
      <c r="O35" s="63" t="n">
        <v>0</v>
      </c>
      <c r="P35" s="63" t="n">
        <v>0</v>
      </c>
      <c r="Q35" s="63" t="n">
        <v>0</v>
      </c>
      <c r="R35" t="n">
        <v>0</v>
      </c>
      <c r="S35" t="n">
        <v>0</v>
      </c>
    </row>
    <row r="36">
      <c r="B36" s="11" t="inlineStr">
        <is>
          <t>판매사업</t>
        </is>
      </c>
      <c r="C36" s="12" t="inlineStr">
        <is>
          <t>임실요거트</t>
        </is>
      </c>
      <c r="D36" s="12" t="inlineStr">
        <is>
          <t>요거트 플레인</t>
        </is>
      </c>
      <c r="E36" s="21" t="inlineStr">
        <is>
          <t>8803459000346</t>
        </is>
      </c>
      <c r="F36" s="9" t="inlineStr">
        <is>
          <t>농협 진짜요 플레인 500ml (임실)</t>
        </is>
      </c>
      <c r="G36" s="9" t="inlineStr">
        <is>
          <t>임실치즈농협</t>
        </is>
      </c>
      <c r="H36" s="8" t="n">
        <v>46258</v>
      </c>
      <c r="J36" s="59" t="n">
        <v>0</v>
      </c>
      <c r="N36" s="64" t="n">
        <v>2267459</v>
      </c>
      <c r="O36" s="64" t="n">
        <v>3105079</v>
      </c>
      <c r="P36" s="64" t="n">
        <v>4108567</v>
      </c>
      <c r="Q36" s="64" t="n">
        <v>2447814</v>
      </c>
      <c r="R36" t="n">
        <v>1337095</v>
      </c>
      <c r="S36" t="n">
        <v>1887238</v>
      </c>
    </row>
    <row r="37">
      <c r="B37" s="11" t="inlineStr">
        <is>
          <t>판매사업</t>
        </is>
      </c>
      <c r="C37" s="12" t="inlineStr">
        <is>
          <t>임실요거트</t>
        </is>
      </c>
      <c r="D37" s="12" t="inlineStr">
        <is>
          <t>요거트 블루베리</t>
        </is>
      </c>
      <c r="E37" s="21" t="inlineStr">
        <is>
          <t>8803459001008</t>
        </is>
      </c>
      <c r="F37" s="9" t="inlineStr">
        <is>
          <t>농협 진짜요 블루베리 500ml (임실)</t>
        </is>
      </c>
      <c r="G37" s="9" t="inlineStr">
        <is>
          <t>임실치즈농협</t>
        </is>
      </c>
      <c r="H37" s="8" t="n">
        <v>46258</v>
      </c>
      <c r="J37" s="59" t="n">
        <v>0</v>
      </c>
      <c r="N37" s="64" t="n">
        <v>2682474</v>
      </c>
      <c r="O37" s="64" t="n">
        <v>3546498</v>
      </c>
      <c r="P37" s="64" t="n">
        <v>3746405</v>
      </c>
      <c r="Q37" s="64" t="n">
        <v>2969960</v>
      </c>
      <c r="R37" t="n">
        <v>1983009</v>
      </c>
      <c r="S37" t="n">
        <v>2717265</v>
      </c>
    </row>
    <row r="38" hidden="1" s="60">
      <c r="B38" s="14" t="inlineStr">
        <is>
          <t>단순판매</t>
        </is>
      </c>
      <c r="C38" s="12" t="inlineStr">
        <is>
          <t>(단순)골뱅이</t>
        </is>
      </c>
      <c r="D38" s="12" t="inlineStr">
        <is>
          <t>(단순)골뱅이1</t>
        </is>
      </c>
      <c r="E38" s="11" t="inlineStr">
        <is>
          <t>임시</t>
        </is>
      </c>
      <c r="F38" s="12" t="inlineStr">
        <is>
          <t>골뱅이1</t>
        </is>
      </c>
      <c r="G38" s="12" t="inlineStr">
        <is>
          <t>화남코퍼레이션</t>
        </is>
      </c>
      <c r="H38" s="8" t="n">
        <v>46321</v>
      </c>
      <c r="J38" s="59" t="n">
        <v>0</v>
      </c>
      <c r="N38" s="64" t="n"/>
      <c r="O38" s="64" t="n"/>
      <c r="P38" s="64" t="n"/>
      <c r="Q38" s="64" t="n"/>
    </row>
    <row r="39" hidden="1" ht="16.8" customHeight="1" s="60">
      <c r="B39" s="14" t="inlineStr">
        <is>
          <t>단순판매</t>
        </is>
      </c>
      <c r="C39" s="12" t="inlineStr">
        <is>
          <t>(단순)골뱅이</t>
        </is>
      </c>
      <c r="D39" s="12" t="inlineStr">
        <is>
          <t>(단순)골뱅이2</t>
        </is>
      </c>
      <c r="E39" s="11" t="inlineStr">
        <is>
          <t>임시</t>
        </is>
      </c>
      <c r="F39" s="12" t="inlineStr">
        <is>
          <t>골뱅이2</t>
        </is>
      </c>
      <c r="G39" s="12" t="inlineStr">
        <is>
          <t>화남코퍼레이션</t>
        </is>
      </c>
      <c r="H39" s="8" t="n">
        <v>46321</v>
      </c>
      <c r="J39" s="59" t="n">
        <v>0</v>
      </c>
      <c r="N39" s="64" t="n"/>
      <c r="O39" s="64" t="n"/>
      <c r="P39" s="64" t="n"/>
      <c r="Q39" s="64" t="n"/>
    </row>
    <row r="40">
      <c r="B40" s="14" t="inlineStr">
        <is>
          <t>판매사업</t>
        </is>
      </c>
      <c r="C40" s="12" t="inlineStr">
        <is>
          <t>크리스피롤 딸기</t>
        </is>
      </c>
      <c r="D40" s="12" t="inlineStr">
        <is>
          <t>크리스피롤 딸기(대)</t>
        </is>
      </c>
      <c r="E40" s="21" t="inlineStr">
        <is>
          <t>8801448776753</t>
        </is>
      </c>
      <c r="F40" s="12" t="inlineStr">
        <is>
          <t>농협 크리스피롤 21곡 딸기맛 370g</t>
        </is>
      </c>
      <c r="G40" s="12" t="inlineStr">
        <is>
          <t>북안동농협</t>
        </is>
      </c>
      <c r="H40" s="8" t="n">
        <v>46302</v>
      </c>
      <c r="J40" s="59" t="n">
        <v>0</v>
      </c>
      <c r="N40" s="64" t="n">
        <v>0</v>
      </c>
      <c r="O40" s="64" t="n">
        <v>0</v>
      </c>
      <c r="P40" s="64" t="n">
        <v>0</v>
      </c>
      <c r="Q40" s="64" t="n">
        <v>0</v>
      </c>
      <c r="R40" t="n">
        <v>0</v>
      </c>
      <c r="S40" t="n">
        <v>81182</v>
      </c>
    </row>
    <row r="41">
      <c r="B41" s="14" t="inlineStr">
        <is>
          <t>판매사업</t>
        </is>
      </c>
      <c r="C41" s="12" t="inlineStr">
        <is>
          <t>크리스피롤 딸기</t>
        </is>
      </c>
      <c r="D41" s="12" t="inlineStr">
        <is>
          <t>크리스피롤 딸기(소)</t>
        </is>
      </c>
      <c r="E41" s="21" t="inlineStr">
        <is>
          <t>8801448776760</t>
        </is>
      </c>
      <c r="F41" s="12" t="inlineStr">
        <is>
          <t>농협 크리스피롤 21곡 딸기맛 160g</t>
        </is>
      </c>
      <c r="G41" s="12" t="inlineStr">
        <is>
          <t>북안동농협</t>
        </is>
      </c>
      <c r="H41" s="8" t="n">
        <v>46302</v>
      </c>
      <c r="N41" s="64" t="n">
        <v>0</v>
      </c>
      <c r="O41" s="64" t="n">
        <v>0</v>
      </c>
      <c r="P41" s="64" t="n">
        <v>0</v>
      </c>
      <c r="Q41" s="64" t="n">
        <v>0</v>
      </c>
      <c r="R41" t="n">
        <v>0</v>
      </c>
      <c r="S41" t="n">
        <v>177091</v>
      </c>
    </row>
    <row r="42">
      <c r="B42" s="14" t="inlineStr">
        <is>
          <t>판매사업</t>
        </is>
      </c>
      <c r="C42" s="12" t="inlineStr">
        <is>
          <t>감자옹심이</t>
        </is>
      </c>
      <c r="D42" s="12" t="inlineStr">
        <is>
          <t>감자옹심이</t>
        </is>
      </c>
      <c r="E42" s="21" t="inlineStr">
        <is>
          <t>8801448776562</t>
        </is>
      </c>
      <c r="F42" s="12" t="inlineStr">
        <is>
          <t>농협 감자옹심이 700g</t>
        </is>
      </c>
      <c r="G42" s="12" t="inlineStr">
        <is>
          <t>미담라이스</t>
        </is>
      </c>
      <c r="H42" s="8" t="n">
        <v>46309</v>
      </c>
      <c r="J42" s="59" t="n">
        <v>0</v>
      </c>
      <c r="N42" s="64" t="n">
        <v>0</v>
      </c>
      <c r="O42" s="64" t="n">
        <v>0</v>
      </c>
      <c r="P42" s="64" t="n">
        <v>0</v>
      </c>
      <c r="Q42" s="64" t="n">
        <v>0</v>
      </c>
      <c r="R42" t="n">
        <v>0</v>
      </c>
      <c r="S42" t="n">
        <v>547094</v>
      </c>
    </row>
    <row r="43">
      <c r="B43" s="11" t="inlineStr">
        <is>
          <t>판매사업</t>
        </is>
      </c>
      <c r="C43" s="12" t="inlineStr">
        <is>
          <t>네컵연두부</t>
        </is>
      </c>
      <c r="D43" s="12" t="inlineStr">
        <is>
          <t>네컵연두부</t>
        </is>
      </c>
      <c r="E43" s="11" t="inlineStr">
        <is>
          <t>8801448776739</t>
        </is>
      </c>
      <c r="F43" s="11" t="inlineStr">
        <is>
          <t>농협 국산콩 네컵연두부 360g</t>
        </is>
      </c>
      <c r="G43" s="9" t="inlineStr">
        <is>
          <t>맑은물에</t>
        </is>
      </c>
      <c r="H43" s="8" t="n">
        <v>46318</v>
      </c>
      <c r="J43" s="9" t="n"/>
      <c r="K43" s="9" t="n"/>
      <c r="L43" s="9" t="n"/>
      <c r="M43" s="9" t="n"/>
      <c r="N43" s="65" t="n">
        <v>0</v>
      </c>
      <c r="O43" s="65" t="n">
        <v>0</v>
      </c>
      <c r="P43" s="65" t="n">
        <v>0</v>
      </c>
      <c r="Q43" s="65" t="n">
        <v>0</v>
      </c>
      <c r="R43" t="n">
        <v>0</v>
      </c>
      <c r="S43" t="n">
        <v>0</v>
      </c>
    </row>
    <row r="44" hidden="1" s="60">
      <c r="B44" s="14" t="inlineStr">
        <is>
          <t>단순판매</t>
        </is>
      </c>
      <c r="C44" s="12" t="inlineStr">
        <is>
          <t>꾸이맨</t>
        </is>
      </c>
      <c r="D44" s="12" t="inlineStr">
        <is>
          <t>꾸이맨 점보</t>
        </is>
      </c>
      <c r="E44" s="21" t="inlineStr">
        <is>
          <t>8809081260097</t>
        </is>
      </c>
      <c r="F44" s="12" t="inlineStr">
        <is>
          <t>꼬마꾸이맨 점보 250g</t>
        </is>
      </c>
      <c r="G44" s="12" t="inlineStr">
        <is>
          <t>나베가</t>
        </is>
      </c>
      <c r="H44" s="8" t="n">
        <v>46321</v>
      </c>
      <c r="J44" s="59" t="n">
        <v>0</v>
      </c>
      <c r="N44" s="64" t="n">
        <v>0</v>
      </c>
      <c r="O44" s="64" t="n">
        <v>0</v>
      </c>
      <c r="P44" s="64" t="n">
        <v>0</v>
      </c>
      <c r="Q44" s="64" t="n">
        <v>0</v>
      </c>
      <c r="R44" t="n">
        <v>0</v>
      </c>
      <c r="S44" t="n">
        <v>0</v>
      </c>
    </row>
    <row r="45" hidden="1" s="60">
      <c r="B45" s="14" t="inlineStr">
        <is>
          <t>단순판매</t>
        </is>
      </c>
      <c r="C45" s="12" t="inlineStr">
        <is>
          <t>꾸이맨</t>
        </is>
      </c>
      <c r="D45" s="12" t="inlineStr">
        <is>
          <t>꾸이맨 벌크</t>
        </is>
      </c>
      <c r="E45" s="21" t="inlineStr">
        <is>
          <t>8809081260110</t>
        </is>
      </c>
      <c r="F45" s="12" t="inlineStr">
        <is>
          <t>꾸이맨23g*10EA 벌크</t>
        </is>
      </c>
      <c r="G45" s="12" t="inlineStr">
        <is>
          <t>나베가</t>
        </is>
      </c>
      <c r="H45" s="8" t="n">
        <v>46321</v>
      </c>
      <c r="J45" s="59" t="n">
        <v>0</v>
      </c>
      <c r="N45" s="64" t="n">
        <v>0</v>
      </c>
      <c r="O45" s="64" t="n">
        <v>0</v>
      </c>
      <c r="P45" s="64" t="n">
        <v>0</v>
      </c>
      <c r="Q45" s="64" t="n">
        <v>0</v>
      </c>
      <c r="R45" t="n">
        <v>0</v>
      </c>
      <c r="S45" t="n">
        <v>0</v>
      </c>
    </row>
    <row r="46" hidden="1" s="60">
      <c r="B46" s="14" t="inlineStr">
        <is>
          <t>단순판매</t>
        </is>
      </c>
      <c r="C46" s="12" t="inlineStr">
        <is>
          <t>꾸이맨</t>
        </is>
      </c>
      <c r="D46" s="12" t="inlineStr">
        <is>
          <t>꼬마꾸이맨</t>
        </is>
      </c>
      <c r="E46" s="21" t="inlineStr">
        <is>
          <t>8809081260295</t>
        </is>
      </c>
      <c r="F46" s="12" t="inlineStr">
        <is>
          <t>꼬마꾸이맨50g</t>
        </is>
      </c>
      <c r="G46" s="12" t="inlineStr">
        <is>
          <t>나베가</t>
        </is>
      </c>
      <c r="H46" s="8" t="n">
        <v>46321</v>
      </c>
      <c r="J46" s="59" t="n">
        <v>0</v>
      </c>
      <c r="N46" s="64" t="n">
        <v>0</v>
      </c>
      <c r="O46" s="64" t="n">
        <v>0</v>
      </c>
      <c r="P46" s="64" t="n">
        <v>0</v>
      </c>
      <c r="Q46" s="64" t="n">
        <v>0</v>
      </c>
      <c r="R46" t="n">
        <v>0</v>
      </c>
      <c r="S46" t="n">
        <v>390275</v>
      </c>
    </row>
    <row r="47" hidden="1" s="60">
      <c r="B47" s="9" t="inlineStr">
        <is>
          <t>단순판매</t>
        </is>
      </c>
      <c r="C47" s="9" t="inlineStr">
        <is>
          <t>핫도그</t>
        </is>
      </c>
      <c r="D47" s="9" t="inlineStr">
        <is>
          <t>핫도그</t>
        </is>
      </c>
      <c r="E47" s="11" t="inlineStr">
        <is>
          <t>임시</t>
        </is>
      </c>
      <c r="F47" s="9" t="inlineStr">
        <is>
          <t>핫도그</t>
        </is>
      </c>
      <c r="G47" s="9" t="inlineStr">
        <is>
          <t>진부농협</t>
        </is>
      </c>
      <c r="H47" s="8" t="n">
        <v>46321</v>
      </c>
      <c r="N47" s="64" t="n"/>
      <c r="O47" s="64" t="n"/>
      <c r="P47" s="64" t="n"/>
      <c r="Q47" s="64" t="n"/>
    </row>
    <row r="48">
      <c r="B48" s="9" t="inlineStr">
        <is>
          <t>판매사업</t>
        </is>
      </c>
      <c r="C48" s="9" t="inlineStr">
        <is>
          <t>찹쌀떡</t>
        </is>
      </c>
      <c r="D48" s="9" t="inlineStr">
        <is>
          <t>찹쌀떡</t>
        </is>
      </c>
      <c r="E48" s="9" t="inlineStr">
        <is>
          <t>임시</t>
        </is>
      </c>
      <c r="F48" s="9" t="inlineStr">
        <is>
          <t>저당찹쌀떡</t>
        </is>
      </c>
      <c r="G48" s="9" t="inlineStr">
        <is>
          <t>정남농협</t>
        </is>
      </c>
      <c r="H48" s="8" t="n">
        <v>46318</v>
      </c>
      <c r="N48" s="64" t="n"/>
      <c r="O48" s="64" t="n"/>
      <c r="P48" s="64" t="n"/>
      <c r="Q48" s="64" t="n"/>
    </row>
    <row r="49" ht="18" customHeight="1" s="60" thickBot="1">
      <c r="B49" s="11" t="inlineStr">
        <is>
          <t>판매사업</t>
        </is>
      </c>
      <c r="C49" s="12" t="inlineStr">
        <is>
          <t>임실요거트</t>
        </is>
      </c>
      <c r="D49" s="12" t="inlineStr">
        <is>
          <t>요거트 딸기</t>
        </is>
      </c>
      <c r="E49" s="20" t="inlineStr">
        <is>
          <t>8803459001015</t>
        </is>
      </c>
      <c r="F49" s="9" t="inlineStr">
        <is>
          <t>농협 진짜요 딸기 500ml (임실)</t>
        </is>
      </c>
      <c r="G49" s="9" t="inlineStr">
        <is>
          <t>임실치즈농협</t>
        </is>
      </c>
      <c r="H49" s="8" t="n">
        <v>46309</v>
      </c>
      <c r="N49" s="64" t="n">
        <v>0</v>
      </c>
      <c r="O49" s="64" t="n">
        <v>0</v>
      </c>
      <c r="P49" s="64" t="n">
        <v>0</v>
      </c>
      <c r="Q49" s="64" t="n">
        <v>0</v>
      </c>
      <c r="R49" t="n">
        <v>0</v>
      </c>
      <c r="S49" t="n">
        <v>0</v>
      </c>
    </row>
    <row r="50" ht="18" customHeight="1" s="60" thickBot="1">
      <c r="B50" s="11" t="inlineStr">
        <is>
          <t>판매사업</t>
        </is>
      </c>
      <c r="C50" s="12" t="inlineStr">
        <is>
          <t>검은콩두유</t>
        </is>
      </c>
      <c r="D50" s="42" t="inlineStr">
        <is>
          <t>두유 16입</t>
        </is>
      </c>
      <c r="E50" s="11" t="inlineStr">
        <is>
          <t>임시</t>
        </is>
      </c>
      <c r="F50" s="41" t="inlineStr">
        <is>
          <t>검은콩 고칼슘 두유 16입</t>
        </is>
      </c>
      <c r="G50" s="9" t="inlineStr">
        <is>
          <t>한미헬스케어</t>
        </is>
      </c>
      <c r="H50" s="8" t="n">
        <v>46327</v>
      </c>
      <c r="N50" s="64" t="n"/>
      <c r="O50" s="64" t="n"/>
      <c r="P50" s="64" t="n"/>
      <c r="Q50" s="64" t="n"/>
    </row>
    <row r="51" ht="18" customHeight="1" s="60" thickBot="1">
      <c r="B51" s="11" t="inlineStr">
        <is>
          <t>판매사업</t>
        </is>
      </c>
      <c r="C51" s="12" t="inlineStr">
        <is>
          <t>검은콩두유</t>
        </is>
      </c>
      <c r="D51" s="12" t="inlineStr">
        <is>
          <t>두유 24입</t>
        </is>
      </c>
      <c r="E51" s="11" t="inlineStr">
        <is>
          <t>임시</t>
        </is>
      </c>
      <c r="F51" s="41" t="inlineStr">
        <is>
          <t>검은콩 고칼슘 두유 24입</t>
        </is>
      </c>
      <c r="G51" s="9" t="inlineStr">
        <is>
          <t>한미헬스케어</t>
        </is>
      </c>
      <c r="H51" s="8" t="n">
        <v>46327</v>
      </c>
      <c r="N51" s="64" t="n"/>
      <c r="O51" s="64" t="n"/>
      <c r="P51" s="64" t="n"/>
      <c r="Q51" s="64" t="n"/>
    </row>
    <row r="52" ht="18" customHeight="1" s="60" thickBot="1">
      <c r="B52" s="11" t="inlineStr">
        <is>
          <t>판매사업</t>
        </is>
      </c>
      <c r="C52" s="12" t="inlineStr">
        <is>
          <t>검은콩두유</t>
        </is>
      </c>
      <c r="D52" s="12" t="inlineStr">
        <is>
          <t>두유 식자재</t>
        </is>
      </c>
      <c r="E52" s="11" t="inlineStr">
        <is>
          <t>임시</t>
        </is>
      </c>
      <c r="F52" s="41" t="inlineStr">
        <is>
          <t>검은콩 고칼슘 두유 24입 &lt;식자재&gt;</t>
        </is>
      </c>
      <c r="G52" s="9" t="inlineStr">
        <is>
          <t>한미헬스케어</t>
        </is>
      </c>
      <c r="H52" s="8" t="n">
        <v>46327</v>
      </c>
      <c r="N52" s="64" t="n">
        <v>0</v>
      </c>
      <c r="O52" s="64" t="n">
        <v>0</v>
      </c>
      <c r="P52" s="64" t="n">
        <v>0</v>
      </c>
      <c r="Q52" s="64" t="n">
        <v>0</v>
      </c>
    </row>
    <row r="53">
      <c r="B53" s="14" t="inlineStr">
        <is>
          <t>판매사업</t>
        </is>
      </c>
      <c r="C53" s="12" t="inlineStr">
        <is>
          <t>균형영양식</t>
        </is>
      </c>
      <c r="D53" s="12" t="inlineStr">
        <is>
          <t>균형영양식1</t>
        </is>
      </c>
      <c r="E53" s="11" t="inlineStr">
        <is>
          <t>임시</t>
        </is>
      </c>
      <c r="F53" s="12" t="inlineStr">
        <is>
          <t>균형영양식</t>
        </is>
      </c>
      <c r="G53" s="12" t="inlineStr">
        <is>
          <t>비락</t>
        </is>
      </c>
      <c r="H53" s="8" t="n">
        <v>46327</v>
      </c>
      <c r="N53" s="64" t="n"/>
      <c r="O53" s="64" t="n"/>
      <c r="P53" s="64" t="n"/>
      <c r="Q53" s="64" t="n"/>
    </row>
    <row r="54">
      <c r="B54" s="14" t="inlineStr">
        <is>
          <t>판매사업</t>
        </is>
      </c>
      <c r="C54" s="12" t="inlineStr">
        <is>
          <t>균형영양식</t>
        </is>
      </c>
      <c r="D54" s="12" t="inlineStr">
        <is>
          <t>균형영양식2</t>
        </is>
      </c>
      <c r="E54" s="11" t="inlineStr">
        <is>
          <t>임시</t>
        </is>
      </c>
      <c r="F54" s="12" t="inlineStr">
        <is>
          <t>균형영양식</t>
        </is>
      </c>
      <c r="G54" s="12" t="inlineStr">
        <is>
          <t>비락</t>
        </is>
      </c>
      <c r="H54" s="8" t="n">
        <v>46327</v>
      </c>
      <c r="N54" s="64" t="n"/>
      <c r="O54" s="64" t="n"/>
      <c r="P54" s="64" t="n"/>
      <c r="Q54" s="64" t="n"/>
    </row>
    <row r="55">
      <c r="B55" s="14" t="inlineStr">
        <is>
          <t>판매사업</t>
        </is>
      </c>
      <c r="C55" s="12" t="inlineStr">
        <is>
          <t>균형영양식</t>
        </is>
      </c>
      <c r="D55" s="12" t="inlineStr">
        <is>
          <t>균형영양식3</t>
        </is>
      </c>
      <c r="E55" s="11" t="inlineStr">
        <is>
          <t>임시</t>
        </is>
      </c>
      <c r="F55" s="12" t="inlineStr">
        <is>
          <t>균형영양식</t>
        </is>
      </c>
      <c r="G55" s="12" t="inlineStr">
        <is>
          <t>비락</t>
        </is>
      </c>
      <c r="H55" s="8" t="n">
        <v>46327</v>
      </c>
      <c r="N55" s="64" t="n"/>
      <c r="O55" s="64" t="n"/>
      <c r="P55" s="64" t="n"/>
      <c r="Q55" s="64" t="n"/>
    </row>
    <row r="56">
      <c r="B56" s="9" t="inlineStr">
        <is>
          <t>판매사업</t>
        </is>
      </c>
      <c r="C56" s="9" t="inlineStr">
        <is>
          <t>전통캔디</t>
        </is>
      </c>
      <c r="D56" s="9" t="inlineStr">
        <is>
          <t>전통캔디(유가)</t>
        </is>
      </c>
      <c r="E56" s="9" t="inlineStr">
        <is>
          <t>임시</t>
        </is>
      </c>
      <c r="F56" s="9" t="inlineStr">
        <is>
          <t>전통캔디(유가)</t>
        </is>
      </c>
      <c r="G56" s="9" t="inlineStr">
        <is>
          <t>동아제과</t>
        </is>
      </c>
      <c r="H56" s="8" t="n">
        <v>46419</v>
      </c>
      <c r="N56" s="64" t="n"/>
      <c r="O56" s="64" t="n"/>
      <c r="P56" s="64" t="n"/>
      <c r="Q56" s="64" t="n"/>
    </row>
    <row r="57">
      <c r="B57" s="9" t="inlineStr">
        <is>
          <t>판매사업</t>
        </is>
      </c>
      <c r="C57" s="9" t="inlineStr">
        <is>
          <t>전통캔디</t>
        </is>
      </c>
      <c r="D57" s="9" t="inlineStr">
        <is>
          <t>전통캔디(호박엿)</t>
        </is>
      </c>
      <c r="E57" s="9" t="inlineStr">
        <is>
          <t>임시</t>
        </is>
      </c>
      <c r="F57" s="9" t="inlineStr">
        <is>
          <t>전통캔디(호박엿)</t>
        </is>
      </c>
      <c r="G57" s="9" t="inlineStr">
        <is>
          <t>동아제과</t>
        </is>
      </c>
      <c r="H57" s="8" t="n">
        <v>46419</v>
      </c>
      <c r="N57" s="64" t="n"/>
      <c r="O57" s="64" t="n"/>
      <c r="P57" s="64" t="n"/>
      <c r="Q57" s="64" t="n"/>
    </row>
    <row r="58">
      <c r="B58" s="9" t="inlineStr">
        <is>
          <t>판매사업</t>
        </is>
      </c>
      <c r="C58" s="9" t="inlineStr">
        <is>
          <t>전통캔디</t>
        </is>
      </c>
      <c r="D58" s="9" t="inlineStr">
        <is>
          <t>전통캔디(누룽지)</t>
        </is>
      </c>
      <c r="E58" s="9" t="inlineStr">
        <is>
          <t>임시</t>
        </is>
      </c>
      <c r="F58" s="9" t="inlineStr">
        <is>
          <t>전통캔디(누룽지)</t>
        </is>
      </c>
      <c r="G58" s="9" t="inlineStr">
        <is>
          <t>동아제과</t>
        </is>
      </c>
      <c r="H58" s="8" t="n">
        <v>46419</v>
      </c>
      <c r="N58" s="64" t="n"/>
      <c r="O58" s="64" t="n"/>
      <c r="P58" s="64" t="n"/>
      <c r="Q58" s="64" t="n"/>
    </row>
    <row r="59">
      <c r="B59" s="14" t="inlineStr">
        <is>
          <t>판매사업</t>
        </is>
      </c>
      <c r="C59" s="9" t="inlineStr">
        <is>
          <t>새알심</t>
        </is>
      </c>
      <c r="D59" s="9" t="inlineStr">
        <is>
          <t>찹쌀새알심</t>
        </is>
      </c>
      <c r="E59" s="9" t="n">
        <v>8801448776715</v>
      </c>
      <c r="F59" s="9" t="inlineStr">
        <is>
          <t>농협 찹쌀새알심 1kg</t>
        </is>
      </c>
      <c r="G59" s="9" t="inlineStr">
        <is>
          <t>미담라이스</t>
        </is>
      </c>
      <c r="H59" s="8" t="n">
        <v>46294</v>
      </c>
      <c r="N59" t="n">
        <v>0</v>
      </c>
      <c r="O59" t="n">
        <v>0</v>
      </c>
      <c r="P59" t="n">
        <v>0</v>
      </c>
      <c r="Q59" t="n">
        <v>0</v>
      </c>
      <c r="R59" t="n">
        <v>1171855</v>
      </c>
      <c r="S59" t="n">
        <v>1708466</v>
      </c>
    </row>
    <row r="60">
      <c r="B60" s="14" t="inlineStr">
        <is>
          <t>판매사업</t>
        </is>
      </c>
      <c r="C60" s="9" t="inlineStr">
        <is>
          <t>꽃소금</t>
        </is>
      </c>
      <c r="D60" s="9" t="inlineStr">
        <is>
          <t>꽃소금 3kg</t>
        </is>
      </c>
      <c r="E60" s="9" t="n">
        <v>8801448777279</v>
      </c>
      <c r="F60" s="9" t="inlineStr">
        <is>
          <t>농협 국산 꽃소금 3kg</t>
        </is>
      </c>
      <c r="G60" s="9" t="inlineStr">
        <is>
          <t>해리농협</t>
        </is>
      </c>
      <c r="H60" s="8" t="n">
        <v>46294</v>
      </c>
      <c r="N60" s="22" t="n">
        <v>0</v>
      </c>
      <c r="O60" t="n">
        <v>0</v>
      </c>
      <c r="P60" t="n">
        <v>0</v>
      </c>
      <c r="Q60" t="n">
        <v>33840</v>
      </c>
      <c r="R60" t="n">
        <v>907440</v>
      </c>
      <c r="S60" t="n">
        <v>495280</v>
      </c>
    </row>
    <row r="61">
      <c r="B61" s="14" t="inlineStr">
        <is>
          <t>판매사업</t>
        </is>
      </c>
      <c r="C61" s="9" t="inlineStr">
        <is>
          <t>꽃소금</t>
        </is>
      </c>
      <c r="D61" s="9" t="inlineStr">
        <is>
          <t>꽃소금 1kg</t>
        </is>
      </c>
      <c r="E61" s="9" t="n">
        <v>8801448777286</v>
      </c>
      <c r="F61" s="9" t="inlineStr">
        <is>
          <t>농협 국산 꽃소금 1kg</t>
        </is>
      </c>
      <c r="G61" s="9" t="inlineStr">
        <is>
          <t>해리농협</t>
        </is>
      </c>
      <c r="H61" s="8" t="n">
        <v>46294</v>
      </c>
      <c r="N61" t="n">
        <v>0</v>
      </c>
      <c r="O61" t="n">
        <v>0</v>
      </c>
      <c r="P61" t="n">
        <v>0</v>
      </c>
      <c r="Q61" t="n">
        <v>1092800</v>
      </c>
      <c r="R61" t="n">
        <v>1288200</v>
      </c>
      <c r="S61" t="n">
        <v>1645300</v>
      </c>
    </row>
    <row r="62">
      <c r="B62" s="9" t="inlineStr">
        <is>
          <t>판매사업</t>
        </is>
      </c>
      <c r="C62" s="9" t="inlineStr">
        <is>
          <t>구운란</t>
        </is>
      </c>
      <c r="D62" s="9" t="inlineStr">
        <is>
          <t>구운란(F2생산)</t>
        </is>
      </c>
      <c r="E62" s="9" t="n">
        <v>8801448758056</v>
      </c>
      <c r="F62" s="9" t="inlineStr">
        <is>
          <t>농협 고소한 구운란 20구</t>
        </is>
      </c>
      <c r="G62" s="9" t="inlineStr">
        <is>
          <t>천안축산농협</t>
        </is>
      </c>
      <c r="H62" s="8" t="n">
        <v>46266</v>
      </c>
      <c r="I62" s="9" t="inlineStr">
        <is>
          <t>천안축산농협 입고분만</t>
        </is>
      </c>
      <c r="N62" t="n">
        <v>0</v>
      </c>
      <c r="O62" t="n">
        <v>6913426</v>
      </c>
      <c r="P62" t="n">
        <v>9535760</v>
      </c>
      <c r="Q62" t="n">
        <v>8939775</v>
      </c>
      <c r="R62" t="n">
        <v>0</v>
      </c>
      <c r="S62" t="n">
        <v>0</v>
      </c>
    </row>
    <row r="63">
      <c r="I63" s="15" t="inlineStr">
        <is>
          <t>합계</t>
        </is>
      </c>
      <c r="J63" s="66">
        <f>SUM(J3:J46)</f>
        <v/>
      </c>
      <c r="K63" s="66">
        <f>SUM(K3:K46)</f>
        <v/>
      </c>
      <c r="L63" s="66">
        <f>SUM(L3:L46)</f>
        <v/>
      </c>
      <c r="M63" s="66">
        <f>SUM(M3:M46)</f>
        <v/>
      </c>
      <c r="N63" s="66">
        <f>SUM(N3:N52)</f>
        <v/>
      </c>
      <c r="O63" s="66">
        <f>SUM(O3:O52)</f>
        <v/>
      </c>
      <c r="P63" s="66">
        <f>SUM(P3:P52)</f>
        <v/>
      </c>
      <c r="Q63" s="66">
        <f>SUM(Q3:Q52)</f>
        <v/>
      </c>
    </row>
    <row r="64">
      <c r="N64" s="22" t="inlineStr">
        <is>
          <t>출처: 매출내역_nhfood_20261006 (3).xlsx (업로드 파일, 2026-10-06), 2026.9.1~9.30 품번별 공급금액(원)</t>
        </is>
      </c>
    </row>
    <row r="65"/>
    <row r="66"/>
    <row r="67"/>
    <row r="68"/>
    <row r="69"/>
    <row r="70"/>
    <row r="71"/>
    <row r="72"/>
    <row r="73"/>
    <row r="74"/>
    <row r="75"/>
    <row r="76"/>
    <row r="77"/>
    <row r="78"/>
    <row r="1048571">
      <c r="B1048571" s="11" t="n"/>
      <c r="C1048571" s="12" t="n"/>
    </row>
  </sheetData>
  <autoFilter ref="B2:H61">
    <filterColumn colId="0" hiddenButton="0" showButton="1">
      <filters>
        <filter val="판매사업"/>
      </filters>
    </filterColumn>
    <sortState ref="B3:H28">
      <sortCondition ref="H2"/>
    </sortState>
  </autoFilter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7.4"/>
  <cols>
    <col width="14.796875" bestFit="1" customWidth="1" style="26" min="1" max="1"/>
    <col width="13.5" bestFit="1" customWidth="1" style="60" min="2" max="2"/>
    <col width="13.296875" customWidth="1" style="60" min="3" max="14"/>
  </cols>
  <sheetData>
    <row r="1">
      <c r="A1" s="29" t="inlineStr">
        <is>
          <t>품번</t>
        </is>
      </c>
      <c r="B1" s="30" t="inlineStr">
        <is>
          <t>거래처(중)</t>
        </is>
      </c>
      <c r="C1" s="30" t="inlineStr">
        <is>
          <t>1월</t>
        </is>
      </c>
      <c r="D1" s="30" t="inlineStr">
        <is>
          <t>2월</t>
        </is>
      </c>
      <c r="E1" s="30" t="inlineStr">
        <is>
          <t>3월</t>
        </is>
      </c>
      <c r="F1" s="30" t="inlineStr">
        <is>
          <t>4월</t>
        </is>
      </c>
      <c r="G1" s="30" t="inlineStr">
        <is>
          <t>5월</t>
        </is>
      </c>
      <c r="H1" s="30" t="inlineStr">
        <is>
          <t>6월</t>
        </is>
      </c>
      <c r="I1" s="30" t="inlineStr">
        <is>
          <t>7월</t>
        </is>
      </c>
      <c r="J1" s="30" t="inlineStr">
        <is>
          <t>8월</t>
        </is>
      </c>
      <c r="K1" s="30" t="inlineStr">
        <is>
          <t>9월</t>
        </is>
      </c>
      <c r="L1" s="30" t="inlineStr">
        <is>
          <t>10월</t>
        </is>
      </c>
      <c r="M1" s="30" t="inlineStr">
        <is>
          <t>11월</t>
        </is>
      </c>
      <c r="N1" s="30" t="inlineStr">
        <is>
          <t>12월</t>
        </is>
      </c>
    </row>
    <row r="2">
      <c r="A2" s="26" t="inlineStr">
        <is>
          <t>8801074802161</t>
        </is>
      </c>
      <c r="B2" s="13" t="inlineStr">
        <is>
          <t>계통대리점</t>
        </is>
      </c>
      <c r="C2" s="67" t="n">
        <v>0</v>
      </c>
      <c r="D2" s="67" t="n">
        <v>0</v>
      </c>
      <c r="E2" s="67" t="n">
        <v>0</v>
      </c>
      <c r="F2" s="67" t="n">
        <v>0</v>
      </c>
      <c r="G2" s="67" t="n">
        <v>820218</v>
      </c>
      <c r="H2" s="67" t="n">
        <v>28405075</v>
      </c>
      <c r="I2" s="67" t="n">
        <v>25212200</v>
      </c>
      <c r="J2" s="67" t="n">
        <v>10897716</v>
      </c>
      <c r="K2" s="67" t="n">
        <v>1131382</v>
      </c>
      <c r="L2" s="67" t="n">
        <v>35000</v>
      </c>
      <c r="M2" s="67" t="n">
        <v>0</v>
      </c>
      <c r="N2" s="67" t="n">
        <v>0</v>
      </c>
    </row>
    <row r="3">
      <c r="A3" s="26" t="inlineStr">
        <is>
          <t>8801074802567</t>
        </is>
      </c>
      <c r="B3" s="13" t="inlineStr">
        <is>
          <t>계통대리점</t>
        </is>
      </c>
      <c r="C3" s="67" t="n">
        <v>0</v>
      </c>
      <c r="D3" s="67" t="n">
        <v>0</v>
      </c>
      <c r="E3" s="67" t="n">
        <v>0</v>
      </c>
      <c r="F3" s="67" t="n">
        <v>0</v>
      </c>
      <c r="G3" s="67" t="n">
        <v>797700</v>
      </c>
      <c r="H3" s="67" t="n">
        <v>24417417</v>
      </c>
      <c r="I3" s="67" t="n">
        <v>16670406</v>
      </c>
      <c r="J3" s="67" t="n">
        <v>6688515</v>
      </c>
      <c r="K3" s="67" t="n">
        <v>847829</v>
      </c>
      <c r="L3" s="67" t="n">
        <v>90000</v>
      </c>
      <c r="M3" s="67" t="n">
        <v>0</v>
      </c>
      <c r="N3" s="67" t="n">
        <v>0</v>
      </c>
    </row>
    <row r="4">
      <c r="A4" s="26" t="inlineStr">
        <is>
          <t>8801448171077</t>
        </is>
      </c>
      <c r="B4" s="13" t="inlineStr">
        <is>
          <t>특판</t>
        </is>
      </c>
      <c r="C4" s="67" t="n">
        <v>0</v>
      </c>
      <c r="D4" s="67" t="n">
        <v>0</v>
      </c>
      <c r="E4" s="67" t="n">
        <v>0</v>
      </c>
      <c r="F4" s="67" t="n">
        <v>0</v>
      </c>
      <c r="G4" s="67" t="n">
        <v>0</v>
      </c>
      <c r="H4" s="67" t="n">
        <v>7600000</v>
      </c>
      <c r="I4" s="67" t="n">
        <v>0</v>
      </c>
      <c r="J4" s="67" t="n">
        <v>0</v>
      </c>
      <c r="K4" s="67" t="n">
        <v>0</v>
      </c>
      <c r="L4" s="67" t="n">
        <v>0</v>
      </c>
      <c r="M4" s="67" t="n">
        <v>0</v>
      </c>
      <c r="N4" s="67" t="n">
        <v>0</v>
      </c>
    </row>
    <row r="5">
      <c r="A5" s="26" t="inlineStr">
        <is>
          <t>8801448759626</t>
        </is>
      </c>
      <c r="B5" s="13" t="inlineStr">
        <is>
          <t>TM</t>
        </is>
      </c>
      <c r="C5" s="67" t="n">
        <v>0</v>
      </c>
      <c r="D5" s="67" t="n">
        <v>0</v>
      </c>
      <c r="E5" s="67" t="n">
        <v>0</v>
      </c>
      <c r="F5" s="67" t="n">
        <v>0</v>
      </c>
      <c r="G5" s="67" t="n">
        <v>0</v>
      </c>
      <c r="H5" s="67" t="n">
        <v>0</v>
      </c>
      <c r="I5" s="67" t="n">
        <v>8202242</v>
      </c>
      <c r="J5" s="67" t="n">
        <v>10944900</v>
      </c>
      <c r="K5" s="67" t="n">
        <v>668700</v>
      </c>
      <c r="L5" s="67" t="n">
        <v>0</v>
      </c>
      <c r="M5" s="67" t="n">
        <v>0</v>
      </c>
      <c r="N5" s="67" t="n">
        <v>0</v>
      </c>
    </row>
    <row r="6">
      <c r="A6" s="26" t="inlineStr">
        <is>
          <t>8801448759626</t>
        </is>
      </c>
      <c r="B6" s="13" t="inlineStr">
        <is>
          <t>계통대리점</t>
        </is>
      </c>
      <c r="C6" s="67" t="n">
        <v>0</v>
      </c>
      <c r="D6" s="67" t="n">
        <v>0</v>
      </c>
      <c r="E6" s="67" t="n">
        <v>0</v>
      </c>
      <c r="F6" s="67" t="n">
        <v>0</v>
      </c>
      <c r="G6" s="67" t="n">
        <v>0</v>
      </c>
      <c r="H6" s="67" t="n">
        <v>619108</v>
      </c>
      <c r="I6" s="67" t="n">
        <v>1500055</v>
      </c>
      <c r="J6" s="67" t="n">
        <v>222642</v>
      </c>
      <c r="K6" s="67" t="n">
        <v>313369</v>
      </c>
      <c r="L6" s="67" t="n">
        <v>289551</v>
      </c>
      <c r="M6" s="67" t="n">
        <v>0</v>
      </c>
      <c r="N6" s="67" t="n">
        <v>0</v>
      </c>
    </row>
    <row r="7">
      <c r="A7" s="26" t="inlineStr">
        <is>
          <t>8801448759626</t>
        </is>
      </c>
      <c r="B7" s="13" t="inlineStr">
        <is>
          <t>시판대리점</t>
        </is>
      </c>
      <c r="C7" s="67" t="n">
        <v>0</v>
      </c>
      <c r="D7" s="67" t="n">
        <v>0</v>
      </c>
      <c r="E7" s="67" t="n">
        <v>0</v>
      </c>
      <c r="F7" s="67" t="n">
        <v>1282273</v>
      </c>
      <c r="G7" s="67" t="n">
        <v>3226364</v>
      </c>
      <c r="H7" s="67" t="n">
        <v>270000</v>
      </c>
      <c r="I7" s="67" t="n">
        <v>189000</v>
      </c>
      <c r="J7" s="67" t="n">
        <v>27000</v>
      </c>
      <c r="K7" s="67" t="n">
        <v>108000</v>
      </c>
      <c r="L7" s="67" t="n">
        <v>54000</v>
      </c>
      <c r="M7" s="67" t="n">
        <v>0</v>
      </c>
      <c r="N7" s="67" t="n">
        <v>0</v>
      </c>
    </row>
    <row r="8">
      <c r="A8" s="26" t="inlineStr">
        <is>
          <t>8801448759626</t>
        </is>
      </c>
      <c r="B8" s="13" t="inlineStr">
        <is>
          <t>온라인</t>
        </is>
      </c>
      <c r="C8" s="67" t="n">
        <v>0</v>
      </c>
      <c r="D8" s="67" t="n">
        <v>0</v>
      </c>
      <c r="E8" s="67" t="n">
        <v>0</v>
      </c>
      <c r="F8" s="67" t="n">
        <v>0</v>
      </c>
      <c r="G8" s="67" t="n">
        <v>0</v>
      </c>
      <c r="H8" s="67" t="n">
        <v>0</v>
      </c>
      <c r="I8" s="67" t="n">
        <v>271482</v>
      </c>
      <c r="J8" s="67" t="n">
        <v>88591</v>
      </c>
      <c r="K8" s="67" t="n">
        <v>1009691</v>
      </c>
      <c r="L8" s="67" t="n">
        <v>0</v>
      </c>
      <c r="M8" s="67" t="n">
        <v>0</v>
      </c>
      <c r="N8" s="67" t="n">
        <v>0</v>
      </c>
    </row>
    <row r="9">
      <c r="A9" s="26" t="inlineStr">
        <is>
          <t>8801448759626</t>
        </is>
      </c>
      <c r="B9" s="13" t="inlineStr">
        <is>
          <t>유통(대외판매)</t>
        </is>
      </c>
      <c r="C9" s="67" t="n">
        <v>0</v>
      </c>
      <c r="D9" s="67" t="n">
        <v>0</v>
      </c>
      <c r="E9" s="67" t="n">
        <v>4446000</v>
      </c>
      <c r="F9" s="67" t="n">
        <v>0</v>
      </c>
      <c r="G9" s="67" t="n">
        <v>0</v>
      </c>
      <c r="H9" s="67" t="n">
        <v>0</v>
      </c>
      <c r="I9" s="67" t="n">
        <v>0</v>
      </c>
      <c r="J9" s="67" t="n">
        <v>0</v>
      </c>
      <c r="K9" s="67" t="n">
        <v>0</v>
      </c>
      <c r="L9" s="67" t="n">
        <v>0</v>
      </c>
      <c r="M9" s="67" t="n">
        <v>0</v>
      </c>
      <c r="N9" s="67" t="n">
        <v>0</v>
      </c>
    </row>
    <row r="10">
      <c r="A10" s="26" t="inlineStr">
        <is>
          <t>8801448759626</t>
        </is>
      </c>
      <c r="B10" s="13" t="inlineStr">
        <is>
          <t>특판</t>
        </is>
      </c>
      <c r="C10" s="67" t="n">
        <v>0</v>
      </c>
      <c r="D10" s="67" t="n">
        <v>0</v>
      </c>
      <c r="E10" s="67" t="n">
        <v>0</v>
      </c>
      <c r="F10" s="67" t="n">
        <v>0</v>
      </c>
      <c r="G10" s="67" t="n">
        <v>21818</v>
      </c>
      <c r="H10" s="67" t="n">
        <v>82228</v>
      </c>
      <c r="I10" s="67" t="n">
        <v>0</v>
      </c>
      <c r="J10" s="67" t="n">
        <v>90955636</v>
      </c>
      <c r="K10" s="67" t="n">
        <v>393182</v>
      </c>
      <c r="L10" s="67" t="n">
        <v>35909</v>
      </c>
      <c r="M10" s="67" t="n">
        <v>0</v>
      </c>
      <c r="N10" s="67" t="n">
        <v>0</v>
      </c>
    </row>
    <row r="11">
      <c r="A11" s="26" t="inlineStr">
        <is>
          <t>8801448759626</t>
        </is>
      </c>
      <c r="B11" s="13" t="inlineStr">
        <is>
          <t>홈쇼핑</t>
        </is>
      </c>
      <c r="C11" s="67" t="n">
        <v>0</v>
      </c>
      <c r="D11" s="67" t="n">
        <v>0</v>
      </c>
      <c r="E11" s="67" t="n">
        <v>0</v>
      </c>
      <c r="F11" s="67" t="n">
        <v>0</v>
      </c>
      <c r="G11" s="67" t="n">
        <v>0</v>
      </c>
      <c r="H11" s="67" t="n">
        <v>250182</v>
      </c>
      <c r="I11" s="67" t="n">
        <v>0</v>
      </c>
      <c r="J11" s="67" t="n">
        <v>398727</v>
      </c>
      <c r="K11" s="67" t="n">
        <v>0</v>
      </c>
      <c r="L11" s="67" t="n">
        <v>0</v>
      </c>
      <c r="M11" s="67" t="n">
        <v>0</v>
      </c>
      <c r="N11" s="67" t="n">
        <v>0</v>
      </c>
    </row>
    <row r="12">
      <c r="A12" s="26" t="inlineStr">
        <is>
          <t>8801448759633</t>
        </is>
      </c>
      <c r="B12" s="13" t="inlineStr">
        <is>
          <t>TM</t>
        </is>
      </c>
      <c r="C12" s="67" t="n">
        <v>0</v>
      </c>
      <c r="D12" s="67" t="n">
        <v>0</v>
      </c>
      <c r="E12" s="67" t="n">
        <v>0</v>
      </c>
      <c r="F12" s="67" t="n">
        <v>0</v>
      </c>
      <c r="G12" s="67" t="n">
        <v>0</v>
      </c>
      <c r="H12" s="67" t="n">
        <v>0</v>
      </c>
      <c r="I12" s="67" t="n">
        <v>738292</v>
      </c>
      <c r="J12" s="67" t="n">
        <v>9164700</v>
      </c>
      <c r="K12" s="67" t="n">
        <v>19887300</v>
      </c>
      <c r="L12" s="67" t="n">
        <v>0</v>
      </c>
      <c r="M12" s="67" t="n">
        <v>0</v>
      </c>
      <c r="N12" s="67" t="n">
        <v>0</v>
      </c>
    </row>
    <row r="13">
      <c r="A13" s="26" t="inlineStr">
        <is>
          <t>8801448759633</t>
        </is>
      </c>
      <c r="B13" s="13" t="inlineStr">
        <is>
          <t>계통대리점</t>
        </is>
      </c>
      <c r="C13" s="67" t="n">
        <v>0</v>
      </c>
      <c r="D13" s="67" t="n">
        <v>0</v>
      </c>
      <c r="E13" s="67" t="n">
        <v>0</v>
      </c>
      <c r="F13" s="67" t="n">
        <v>0</v>
      </c>
      <c r="G13" s="67" t="n">
        <v>0</v>
      </c>
      <c r="H13" s="67" t="n">
        <v>578698</v>
      </c>
      <c r="I13" s="67" t="n">
        <v>1100151</v>
      </c>
      <c r="J13" s="67" t="n">
        <v>92592</v>
      </c>
      <c r="K13" s="67" t="n">
        <v>253642</v>
      </c>
      <c r="L13" s="67" t="n">
        <v>110002</v>
      </c>
      <c r="M13" s="67" t="n">
        <v>0</v>
      </c>
      <c r="N13" s="67" t="n">
        <v>0</v>
      </c>
    </row>
    <row r="14">
      <c r="A14" s="26" t="inlineStr">
        <is>
          <t>8801448759633</t>
        </is>
      </c>
      <c r="B14" s="13" t="inlineStr">
        <is>
          <t>시판대리점</t>
        </is>
      </c>
      <c r="C14" s="67" t="n">
        <v>0</v>
      </c>
      <c r="D14" s="67" t="n">
        <v>0</v>
      </c>
      <c r="E14" s="67" t="n">
        <v>0</v>
      </c>
      <c r="F14" s="67" t="n">
        <v>5082727</v>
      </c>
      <c r="G14" s="67" t="n">
        <v>0</v>
      </c>
      <c r="H14" s="67" t="n">
        <v>81000</v>
      </c>
      <c r="I14" s="67" t="n">
        <v>189000</v>
      </c>
      <c r="J14" s="67" t="n">
        <v>0</v>
      </c>
      <c r="K14" s="67" t="n">
        <v>27000</v>
      </c>
      <c r="L14" s="67" t="n">
        <v>0</v>
      </c>
      <c r="M14" s="67" t="n">
        <v>0</v>
      </c>
      <c r="N14" s="67" t="n">
        <v>0</v>
      </c>
    </row>
    <row r="15">
      <c r="A15" s="26" t="inlineStr">
        <is>
          <t>8801448759633</t>
        </is>
      </c>
      <c r="B15" s="13" t="inlineStr">
        <is>
          <t>온라인</t>
        </is>
      </c>
      <c r="C15" s="67" t="n">
        <v>0</v>
      </c>
      <c r="D15" s="67" t="n">
        <v>0</v>
      </c>
      <c r="E15" s="67" t="n">
        <v>0</v>
      </c>
      <c r="F15" s="67" t="n">
        <v>0</v>
      </c>
      <c r="G15" s="67" t="n">
        <v>0</v>
      </c>
      <c r="H15" s="67" t="n">
        <v>0</v>
      </c>
      <c r="I15" s="67" t="n">
        <v>95082</v>
      </c>
      <c r="J15" s="67" t="n">
        <v>20000</v>
      </c>
      <c r="K15" s="67" t="n">
        <v>373591</v>
      </c>
      <c r="L15" s="67" t="n">
        <v>0</v>
      </c>
      <c r="M15" s="67" t="n">
        <v>0</v>
      </c>
      <c r="N15" s="67" t="n">
        <v>0</v>
      </c>
    </row>
    <row r="16">
      <c r="A16" s="26" t="inlineStr">
        <is>
          <t>8801448759633</t>
        </is>
      </c>
      <c r="B16" s="13" t="inlineStr">
        <is>
          <t>유통(대외판매)</t>
        </is>
      </c>
      <c r="C16" s="67" t="n">
        <v>0</v>
      </c>
      <c r="D16" s="67" t="n">
        <v>0</v>
      </c>
      <c r="E16" s="67" t="n">
        <v>4446000</v>
      </c>
      <c r="F16" s="67" t="n">
        <v>0</v>
      </c>
      <c r="G16" s="67" t="n">
        <v>0</v>
      </c>
      <c r="H16" s="67" t="n">
        <v>0</v>
      </c>
      <c r="I16" s="67" t="n">
        <v>0</v>
      </c>
      <c r="J16" s="67" t="n">
        <v>0</v>
      </c>
      <c r="K16" s="67" t="n">
        <v>0</v>
      </c>
      <c r="L16" s="67" t="n">
        <v>0</v>
      </c>
      <c r="M16" s="67" t="n">
        <v>0</v>
      </c>
      <c r="N16" s="67" t="n">
        <v>0</v>
      </c>
    </row>
    <row r="17">
      <c r="A17" s="26" t="inlineStr">
        <is>
          <t>8801448759633</t>
        </is>
      </c>
      <c r="B17" s="13" t="inlineStr">
        <is>
          <t>특판</t>
        </is>
      </c>
      <c r="C17" s="67" t="n">
        <v>0</v>
      </c>
      <c r="D17" s="67" t="n">
        <v>0</v>
      </c>
      <c r="E17" s="67" t="n">
        <v>0</v>
      </c>
      <c r="F17" s="67" t="n">
        <v>0</v>
      </c>
      <c r="G17" s="67" t="n">
        <v>21818</v>
      </c>
      <c r="H17" s="67" t="n">
        <v>82228</v>
      </c>
      <c r="I17" s="67" t="n">
        <v>0</v>
      </c>
      <c r="J17" s="67" t="n">
        <v>46545</v>
      </c>
      <c r="K17" s="67" t="n">
        <v>393182</v>
      </c>
      <c r="L17" s="67" t="n">
        <v>358818</v>
      </c>
      <c r="M17" s="67" t="n">
        <v>0</v>
      </c>
      <c r="N17" s="67" t="n">
        <v>0</v>
      </c>
    </row>
    <row r="18">
      <c r="A18" s="26" t="inlineStr">
        <is>
          <t>8801448759633</t>
        </is>
      </c>
      <c r="B18" s="13" t="inlineStr">
        <is>
          <t>홈쇼핑</t>
        </is>
      </c>
      <c r="C18" s="67" t="n">
        <v>0</v>
      </c>
      <c r="D18" s="67" t="n">
        <v>0</v>
      </c>
      <c r="E18" s="67" t="n">
        <v>0</v>
      </c>
      <c r="F18" s="67" t="n">
        <v>0</v>
      </c>
      <c r="G18" s="67" t="n">
        <v>0</v>
      </c>
      <c r="H18" s="67" t="n">
        <v>164182</v>
      </c>
      <c r="I18" s="67" t="n">
        <v>0</v>
      </c>
      <c r="J18" s="67" t="n">
        <v>168091</v>
      </c>
      <c r="K18" s="67" t="n">
        <v>0</v>
      </c>
      <c r="L18" s="67" t="n">
        <v>0</v>
      </c>
      <c r="M18" s="67" t="n">
        <v>0</v>
      </c>
      <c r="N18" s="67" t="n">
        <v>0</v>
      </c>
    </row>
    <row r="19">
      <c r="A19" s="26" t="inlineStr">
        <is>
          <t>8801448764026</t>
        </is>
      </c>
      <c r="B19" s="13" t="inlineStr">
        <is>
          <t>계통대리점</t>
        </is>
      </c>
      <c r="C19" s="67" t="n">
        <v>2466439</v>
      </c>
      <c r="D19" s="67" t="n">
        <v>2483187</v>
      </c>
      <c r="E19" s="67" t="n">
        <v>4337706</v>
      </c>
      <c r="F19" s="67" t="n">
        <v>6231703</v>
      </c>
      <c r="G19" s="67" t="n">
        <v>5905645</v>
      </c>
      <c r="H19" s="67" t="n">
        <v>7763320</v>
      </c>
      <c r="I19" s="67" t="n">
        <v>9549955</v>
      </c>
      <c r="J19" s="67" t="n">
        <v>9629698</v>
      </c>
      <c r="K19" s="67" t="n">
        <v>7439756</v>
      </c>
      <c r="L19" s="67" t="n">
        <v>6847297</v>
      </c>
      <c r="M19" s="67" t="n">
        <v>0</v>
      </c>
      <c r="N19" s="67" t="n">
        <v>0</v>
      </c>
    </row>
    <row r="20">
      <c r="A20" s="26" t="inlineStr">
        <is>
          <t>8801448764026</t>
        </is>
      </c>
      <c r="B20" s="13" t="inlineStr">
        <is>
          <t>시판대리점</t>
        </is>
      </c>
      <c r="C20" s="67" t="n">
        <v>0</v>
      </c>
      <c r="D20" s="67" t="n">
        <v>0</v>
      </c>
      <c r="E20" s="67" t="n">
        <v>70691</v>
      </c>
      <c r="F20" s="67" t="n">
        <v>35345</v>
      </c>
      <c r="G20" s="67" t="n">
        <v>0</v>
      </c>
      <c r="H20" s="67" t="n">
        <v>35345</v>
      </c>
      <c r="I20" s="67" t="n">
        <v>35345</v>
      </c>
      <c r="J20" s="67" t="n">
        <v>141381</v>
      </c>
      <c r="K20" s="67" t="n">
        <v>212073</v>
      </c>
      <c r="L20" s="67" t="n">
        <v>212072</v>
      </c>
      <c r="M20" s="67" t="n">
        <v>0</v>
      </c>
      <c r="N20" s="67" t="n">
        <v>0</v>
      </c>
    </row>
    <row r="21">
      <c r="A21" s="26" t="inlineStr">
        <is>
          <t>8801448764026</t>
        </is>
      </c>
      <c r="B21" s="13" t="inlineStr">
        <is>
          <t>온라인</t>
        </is>
      </c>
      <c r="C21" s="67" t="n">
        <v>0</v>
      </c>
      <c r="D21" s="67" t="n">
        <v>76282</v>
      </c>
      <c r="E21" s="67" t="n">
        <v>27982</v>
      </c>
      <c r="F21" s="67" t="n">
        <v>58736</v>
      </c>
      <c r="G21" s="67" t="n">
        <v>39682</v>
      </c>
      <c r="H21" s="67" t="n">
        <v>139500</v>
      </c>
      <c r="I21" s="67" t="n">
        <v>532727</v>
      </c>
      <c r="J21" s="67" t="n">
        <v>232582</v>
      </c>
      <c r="K21" s="67" t="n">
        <v>274326</v>
      </c>
      <c r="L21" s="67" t="n">
        <v>0</v>
      </c>
      <c r="M21" s="67" t="n">
        <v>0</v>
      </c>
      <c r="N21" s="67" t="n">
        <v>0</v>
      </c>
    </row>
    <row r="22">
      <c r="A22" s="26" t="inlineStr">
        <is>
          <t>8801448764026</t>
        </is>
      </c>
      <c r="B22" s="13" t="inlineStr">
        <is>
          <t>유통(대외판매)</t>
        </is>
      </c>
      <c r="C22" s="67" t="n">
        <v>0</v>
      </c>
      <c r="D22" s="67" t="n">
        <v>0</v>
      </c>
      <c r="E22" s="67" t="n">
        <v>41240</v>
      </c>
      <c r="F22" s="67" t="n">
        <v>0</v>
      </c>
      <c r="G22" s="67" t="n">
        <v>0</v>
      </c>
      <c r="H22" s="67" t="n">
        <v>77760</v>
      </c>
      <c r="I22" s="67" t="n">
        <v>0</v>
      </c>
      <c r="J22" s="67" t="n">
        <v>0</v>
      </c>
      <c r="K22" s="67" t="n">
        <v>0</v>
      </c>
      <c r="L22" s="67" t="n">
        <v>0</v>
      </c>
      <c r="M22" s="67" t="n">
        <v>0</v>
      </c>
      <c r="N22" s="67" t="n">
        <v>0</v>
      </c>
    </row>
    <row r="23">
      <c r="A23" s="26" t="inlineStr">
        <is>
          <t>8801448764026</t>
        </is>
      </c>
      <c r="B23" s="13" t="inlineStr">
        <is>
          <t>특판</t>
        </is>
      </c>
      <c r="C23" s="67" t="n">
        <v>0</v>
      </c>
      <c r="D23" s="67" t="n">
        <v>64363</v>
      </c>
      <c r="E23" s="67" t="n">
        <v>15864</v>
      </c>
      <c r="F23" s="67" t="n">
        <v>15864</v>
      </c>
      <c r="G23" s="67" t="n">
        <v>47588</v>
      </c>
      <c r="H23" s="67" t="n">
        <v>0</v>
      </c>
      <c r="I23" s="67" t="n">
        <v>4082</v>
      </c>
      <c r="J23" s="67" t="n">
        <v>19036</v>
      </c>
      <c r="K23" s="67" t="n">
        <v>69796</v>
      </c>
      <c r="L23" s="67" t="n">
        <v>9518</v>
      </c>
      <c r="M23" s="67" t="n">
        <v>0</v>
      </c>
      <c r="N23" s="67" t="n">
        <v>0</v>
      </c>
    </row>
    <row r="24">
      <c r="A24" s="26" t="inlineStr">
        <is>
          <t>8801448764804</t>
        </is>
      </c>
      <c r="B24" s="13" t="inlineStr">
        <is>
          <t>계통대리점</t>
        </is>
      </c>
      <c r="C24" s="67" t="n">
        <v>2081156</v>
      </c>
      <c r="D24" s="67" t="n">
        <v>-438817</v>
      </c>
      <c r="E24" s="67" t="n">
        <v>98689</v>
      </c>
      <c r="F24" s="67" t="n">
        <v>0</v>
      </c>
      <c r="G24" s="67" t="n">
        <v>-77782</v>
      </c>
      <c r="H24" s="67" t="n">
        <v>1011164</v>
      </c>
      <c r="I24" s="67" t="n">
        <v>0</v>
      </c>
      <c r="J24" s="67" t="n">
        <v>41815</v>
      </c>
      <c r="K24" s="67" t="n">
        <v>111505</v>
      </c>
      <c r="L24" s="67" t="n">
        <v>0</v>
      </c>
      <c r="M24" s="67" t="n">
        <v>0</v>
      </c>
      <c r="N24" s="67" t="n">
        <v>0</v>
      </c>
    </row>
    <row r="25">
      <c r="A25" s="26" t="inlineStr">
        <is>
          <t>8801448764804</t>
        </is>
      </c>
      <c r="B25" s="13" t="inlineStr">
        <is>
          <t>온라인</t>
        </is>
      </c>
      <c r="C25" s="67" t="n">
        <v>43100</v>
      </c>
      <c r="D25" s="67" t="n">
        <v>271274</v>
      </c>
      <c r="E25" s="67" t="n">
        <v>319327</v>
      </c>
      <c r="F25" s="67" t="n">
        <v>45818</v>
      </c>
      <c r="G25" s="67" t="n">
        <v>152727</v>
      </c>
      <c r="H25" s="67" t="n">
        <v>0</v>
      </c>
      <c r="I25" s="67" t="n">
        <v>0</v>
      </c>
      <c r="J25" s="67" t="n">
        <v>0</v>
      </c>
      <c r="K25" s="67" t="n">
        <v>0</v>
      </c>
      <c r="L25" s="67" t="n">
        <v>0</v>
      </c>
      <c r="M25" s="67" t="n">
        <v>0</v>
      </c>
      <c r="N25" s="67" t="n">
        <v>0</v>
      </c>
    </row>
    <row r="26">
      <c r="A26" s="26" t="inlineStr">
        <is>
          <t>8801448764958</t>
        </is>
      </c>
      <c r="B26" s="13" t="inlineStr">
        <is>
          <t>계통대리점</t>
        </is>
      </c>
      <c r="C26" s="67" t="n">
        <v>599183</v>
      </c>
      <c r="D26" s="67" t="n">
        <v>-599183</v>
      </c>
      <c r="E26" s="67" t="n">
        <v>69574</v>
      </c>
      <c r="F26" s="67" t="n">
        <v>0</v>
      </c>
      <c r="G26" s="67" t="n">
        <v>0</v>
      </c>
      <c r="H26" s="67" t="n">
        <v>79513</v>
      </c>
      <c r="I26" s="67" t="n">
        <v>99391</v>
      </c>
      <c r="J26" s="67" t="n">
        <v>0</v>
      </c>
      <c r="K26" s="67" t="n">
        <v>347868</v>
      </c>
      <c r="L26" s="67" t="n">
        <v>0</v>
      </c>
      <c r="M26" s="67" t="n">
        <v>0</v>
      </c>
      <c r="N26" s="67" t="n">
        <v>0</v>
      </c>
    </row>
    <row r="27">
      <c r="A27" s="26" t="inlineStr">
        <is>
          <t>8801448764958</t>
        </is>
      </c>
      <c r="B27" s="13" t="inlineStr">
        <is>
          <t>온라인</t>
        </is>
      </c>
      <c r="C27" s="67" t="n">
        <v>0</v>
      </c>
      <c r="D27" s="67" t="n">
        <v>86048</v>
      </c>
      <c r="E27" s="67" t="n">
        <v>73182</v>
      </c>
      <c r="F27" s="67" t="n">
        <v>67841</v>
      </c>
      <c r="G27" s="67" t="n">
        <v>13568</v>
      </c>
      <c r="H27" s="67" t="n">
        <v>0</v>
      </c>
      <c r="I27" s="67" t="n">
        <v>0</v>
      </c>
      <c r="J27" s="67" t="n">
        <v>34364</v>
      </c>
      <c r="K27" s="67" t="n">
        <v>0</v>
      </c>
      <c r="L27" s="67" t="n">
        <v>0</v>
      </c>
      <c r="M27" s="67" t="n">
        <v>0</v>
      </c>
      <c r="N27" s="67" t="n">
        <v>0</v>
      </c>
    </row>
    <row r="28">
      <c r="A28" s="26" t="inlineStr">
        <is>
          <t>8801448764958</t>
        </is>
      </c>
      <c r="B28" s="13" t="inlineStr">
        <is>
          <t>특판</t>
        </is>
      </c>
      <c r="C28" s="67" t="n">
        <v>0</v>
      </c>
      <c r="D28" s="67" t="n">
        <v>1023436</v>
      </c>
      <c r="E28" s="67" t="n">
        <v>0</v>
      </c>
      <c r="F28" s="67" t="n">
        <v>0</v>
      </c>
      <c r="G28" s="67" t="n">
        <v>0</v>
      </c>
      <c r="H28" s="67" t="n">
        <v>0</v>
      </c>
      <c r="I28" s="67" t="n">
        <v>0</v>
      </c>
      <c r="J28" s="67" t="n">
        <v>0</v>
      </c>
      <c r="K28" s="67" t="n">
        <v>0</v>
      </c>
      <c r="L28" s="67" t="n">
        <v>0</v>
      </c>
      <c r="M28" s="67" t="n">
        <v>0</v>
      </c>
      <c r="N28" s="67" t="n">
        <v>0</v>
      </c>
    </row>
    <row r="29">
      <c r="A29" s="26" t="inlineStr">
        <is>
          <t>8801448765092</t>
        </is>
      </c>
      <c r="B29" s="13" t="inlineStr">
        <is>
          <t>계통대리점</t>
        </is>
      </c>
      <c r="C29" s="67" t="n">
        <v>3210767</v>
      </c>
      <c r="D29" s="67" t="n">
        <v>-1875559</v>
      </c>
      <c r="E29" s="67" t="n">
        <v>61745</v>
      </c>
      <c r="F29" s="67" t="n">
        <v>92619</v>
      </c>
      <c r="G29" s="67" t="n">
        <v>0</v>
      </c>
      <c r="H29" s="67" t="n">
        <v>272018</v>
      </c>
      <c r="I29" s="67" t="n">
        <v>202593</v>
      </c>
      <c r="J29" s="67" t="n">
        <v>258502</v>
      </c>
      <c r="K29" s="67" t="n">
        <v>1899385</v>
      </c>
      <c r="L29" s="67" t="n">
        <v>-1018801</v>
      </c>
      <c r="M29" s="67" t="n">
        <v>0</v>
      </c>
      <c r="N29" s="67" t="n">
        <v>0</v>
      </c>
    </row>
    <row r="30">
      <c r="A30" s="26" t="inlineStr">
        <is>
          <t>8801448765092</t>
        </is>
      </c>
      <c r="B30" s="13" t="inlineStr">
        <is>
          <t>시판대리점</t>
        </is>
      </c>
      <c r="C30" s="67" t="n">
        <v>0</v>
      </c>
      <c r="D30" s="67" t="n">
        <v>0</v>
      </c>
      <c r="E30" s="67" t="n">
        <v>0</v>
      </c>
      <c r="F30" s="67" t="n">
        <v>0</v>
      </c>
      <c r="G30" s="67" t="n">
        <v>0</v>
      </c>
      <c r="H30" s="67" t="n">
        <v>0</v>
      </c>
      <c r="I30" s="67" t="n">
        <v>0</v>
      </c>
      <c r="J30" s="67" t="n">
        <v>0</v>
      </c>
      <c r="K30" s="67" t="n">
        <v>0</v>
      </c>
      <c r="L30" s="67" t="n">
        <v>20893092</v>
      </c>
      <c r="M30" s="67" t="n">
        <v>0</v>
      </c>
      <c r="N30" s="67" t="n">
        <v>0</v>
      </c>
    </row>
    <row r="31">
      <c r="A31" s="26" t="inlineStr">
        <is>
          <t>8801448765092</t>
        </is>
      </c>
      <c r="B31" s="13" t="inlineStr">
        <is>
          <t>온라인</t>
        </is>
      </c>
      <c r="C31" s="67" t="n">
        <v>67373</v>
      </c>
      <c r="D31" s="67" t="n">
        <v>1062432</v>
      </c>
      <c r="E31" s="67" t="n">
        <v>467892</v>
      </c>
      <c r="F31" s="67" t="n">
        <v>176273</v>
      </c>
      <c r="G31" s="67" t="n">
        <v>34527</v>
      </c>
      <c r="H31" s="67" t="n">
        <v>139565</v>
      </c>
      <c r="I31" s="67" t="n">
        <v>0</v>
      </c>
      <c r="J31" s="67" t="n">
        <v>139565</v>
      </c>
      <c r="K31" s="67" t="n">
        <v>69055</v>
      </c>
      <c r="L31" s="67" t="n">
        <v>0</v>
      </c>
      <c r="M31" s="67" t="n">
        <v>0</v>
      </c>
      <c r="N31" s="67" t="n">
        <v>0</v>
      </c>
    </row>
    <row r="32">
      <c r="A32" s="26" t="inlineStr">
        <is>
          <t>8801448765092</t>
        </is>
      </c>
      <c r="B32" s="13" t="inlineStr">
        <is>
          <t>특판</t>
        </is>
      </c>
      <c r="C32" s="67" t="n">
        <v>0</v>
      </c>
      <c r="D32" s="67" t="n">
        <v>0</v>
      </c>
      <c r="E32" s="67" t="n">
        <v>0</v>
      </c>
      <c r="F32" s="67" t="n">
        <v>22336</v>
      </c>
      <c r="G32" s="67" t="n">
        <v>0</v>
      </c>
      <c r="H32" s="67" t="n">
        <v>0</v>
      </c>
      <c r="I32" s="67" t="n">
        <v>36345</v>
      </c>
      <c r="J32" s="67" t="n">
        <v>24545</v>
      </c>
      <c r="K32" s="67" t="n">
        <v>0</v>
      </c>
      <c r="L32" s="67" t="n">
        <v>0</v>
      </c>
      <c r="M32" s="67" t="n">
        <v>0</v>
      </c>
      <c r="N32" s="67" t="n">
        <v>0</v>
      </c>
    </row>
    <row r="33">
      <c r="A33" s="26" t="inlineStr">
        <is>
          <t>8801448765092</t>
        </is>
      </c>
      <c r="B33" s="13" t="inlineStr">
        <is>
          <t>홈쇼핑</t>
        </is>
      </c>
      <c r="C33" s="67" t="n">
        <v>0</v>
      </c>
      <c r="D33" s="67" t="n">
        <v>0</v>
      </c>
      <c r="E33" s="67" t="n">
        <v>0</v>
      </c>
      <c r="F33" s="67" t="n">
        <v>0</v>
      </c>
      <c r="G33" s="67" t="n">
        <v>0</v>
      </c>
      <c r="H33" s="67" t="n">
        <v>266073</v>
      </c>
      <c r="I33" s="67" t="n">
        <v>0</v>
      </c>
      <c r="J33" s="67" t="n">
        <v>0</v>
      </c>
      <c r="K33" s="67" t="n">
        <v>0</v>
      </c>
      <c r="L33" s="67" t="n">
        <v>0</v>
      </c>
      <c r="M33" s="67" t="n">
        <v>0</v>
      </c>
      <c r="N33" s="67" t="n">
        <v>0</v>
      </c>
    </row>
    <row r="34">
      <c r="A34" s="26" t="inlineStr">
        <is>
          <t>8801448765153</t>
        </is>
      </c>
      <c r="B34" s="13" t="inlineStr">
        <is>
          <t>계통대리점</t>
        </is>
      </c>
      <c r="C34" s="67" t="n">
        <v>0</v>
      </c>
      <c r="D34" s="67" t="n">
        <v>0</v>
      </c>
      <c r="E34" s="67" t="n">
        <v>0</v>
      </c>
      <c r="F34" s="67" t="n">
        <v>0</v>
      </c>
      <c r="G34" s="67" t="n">
        <v>0</v>
      </c>
      <c r="H34" s="67" t="n">
        <v>0</v>
      </c>
      <c r="I34" s="67" t="n">
        <v>0</v>
      </c>
      <c r="J34" s="67" t="n">
        <v>0</v>
      </c>
      <c r="K34" s="67" t="n">
        <v>7048841</v>
      </c>
      <c r="L34" s="67" t="n">
        <v>0</v>
      </c>
      <c r="M34" s="67" t="n">
        <v>0</v>
      </c>
      <c r="N34" s="67" t="n">
        <v>0</v>
      </c>
    </row>
    <row r="35">
      <c r="A35" s="26" t="inlineStr">
        <is>
          <t>8801448765153</t>
        </is>
      </c>
      <c r="B35" s="13" t="inlineStr">
        <is>
          <t>특판</t>
        </is>
      </c>
      <c r="C35" s="67" t="n">
        <v>0</v>
      </c>
      <c r="D35" s="67" t="n">
        <v>0</v>
      </c>
      <c r="E35" s="67" t="n">
        <v>0</v>
      </c>
      <c r="F35" s="67" t="n">
        <v>0</v>
      </c>
      <c r="G35" s="67" t="n">
        <v>0</v>
      </c>
      <c r="H35" s="67" t="n">
        <v>0</v>
      </c>
      <c r="I35" s="67" t="n">
        <v>0</v>
      </c>
      <c r="J35" s="67" t="n">
        <v>0</v>
      </c>
      <c r="K35" s="67" t="n">
        <v>1090909</v>
      </c>
      <c r="L35" s="67" t="n">
        <v>700000</v>
      </c>
      <c r="M35" s="67" t="n">
        <v>0</v>
      </c>
      <c r="N35" s="67" t="n">
        <v>0</v>
      </c>
    </row>
    <row r="36">
      <c r="A36" s="26" t="inlineStr">
        <is>
          <t>8801448767522</t>
        </is>
      </c>
      <c r="B36" s="13" t="inlineStr">
        <is>
          <t>온라인</t>
        </is>
      </c>
      <c r="C36" s="67" t="n">
        <v>0</v>
      </c>
      <c r="D36" s="67" t="n">
        <v>0</v>
      </c>
      <c r="E36" s="67" t="n">
        <v>0</v>
      </c>
      <c r="F36" s="67" t="n">
        <v>0</v>
      </c>
      <c r="G36" s="67" t="n">
        <v>0</v>
      </c>
      <c r="H36" s="67" t="n">
        <v>0</v>
      </c>
      <c r="I36" s="67" t="n">
        <v>1083450</v>
      </c>
      <c r="J36" s="67" t="n">
        <v>910098</v>
      </c>
      <c r="K36" s="67" t="n">
        <v>1384816</v>
      </c>
      <c r="L36" s="67" t="n">
        <v>0</v>
      </c>
      <c r="M36" s="67" t="n">
        <v>0</v>
      </c>
      <c r="N36" s="67" t="n">
        <v>0</v>
      </c>
    </row>
    <row r="37">
      <c r="A37" s="26" t="inlineStr">
        <is>
          <t>8801448767539</t>
        </is>
      </c>
      <c r="B37" s="13" t="inlineStr">
        <is>
          <t>온라인</t>
        </is>
      </c>
      <c r="C37" s="67" t="n">
        <v>0</v>
      </c>
      <c r="D37" s="67" t="n">
        <v>0</v>
      </c>
      <c r="E37" s="67" t="n">
        <v>0</v>
      </c>
      <c r="F37" s="67" t="n">
        <v>0</v>
      </c>
      <c r="G37" s="67" t="n">
        <v>0</v>
      </c>
      <c r="H37" s="67" t="n">
        <v>0</v>
      </c>
      <c r="I37" s="67" t="n">
        <v>773464</v>
      </c>
      <c r="J37" s="67" t="n">
        <v>779464</v>
      </c>
      <c r="K37" s="67" t="n">
        <v>1024864</v>
      </c>
      <c r="L37" s="67" t="n">
        <v>0</v>
      </c>
      <c r="M37" s="67" t="n">
        <v>0</v>
      </c>
      <c r="N37" s="67" t="n">
        <v>0</v>
      </c>
    </row>
    <row r="38">
      <c r="A38" s="26" t="inlineStr">
        <is>
          <t>8801448767546</t>
        </is>
      </c>
      <c r="B38" s="13" t="inlineStr">
        <is>
          <t>온라인</t>
        </is>
      </c>
      <c r="C38" s="67" t="n">
        <v>0</v>
      </c>
      <c r="D38" s="67" t="n">
        <v>0</v>
      </c>
      <c r="E38" s="67" t="n">
        <v>0</v>
      </c>
      <c r="F38" s="67" t="n">
        <v>0</v>
      </c>
      <c r="G38" s="67" t="n">
        <v>0</v>
      </c>
      <c r="H38" s="67" t="n">
        <v>0</v>
      </c>
      <c r="I38" s="67" t="n">
        <v>622660</v>
      </c>
      <c r="J38" s="67" t="n">
        <v>554280</v>
      </c>
      <c r="K38" s="67" t="n">
        <v>446900</v>
      </c>
      <c r="L38" s="67" t="n">
        <v>0</v>
      </c>
      <c r="M38" s="67" t="n">
        <v>0</v>
      </c>
      <c r="N38" s="67" t="n">
        <v>0</v>
      </c>
    </row>
    <row r="39">
      <c r="A39" s="26" t="inlineStr">
        <is>
          <t>8801448767553</t>
        </is>
      </c>
      <c r="B39" s="13" t="inlineStr">
        <is>
          <t>온라인</t>
        </is>
      </c>
      <c r="C39" s="67" t="n">
        <v>0</v>
      </c>
      <c r="D39" s="67" t="n">
        <v>0</v>
      </c>
      <c r="E39" s="67" t="n">
        <v>0</v>
      </c>
      <c r="F39" s="67" t="n">
        <v>0</v>
      </c>
      <c r="G39" s="67" t="n">
        <v>0</v>
      </c>
      <c r="H39" s="67" t="n">
        <v>0</v>
      </c>
      <c r="I39" s="67" t="n">
        <v>669060</v>
      </c>
      <c r="J39" s="67" t="n">
        <v>589980</v>
      </c>
      <c r="K39" s="67" t="n">
        <v>995160</v>
      </c>
      <c r="L39" s="67" t="n">
        <v>0</v>
      </c>
      <c r="M39" s="67" t="n">
        <v>0</v>
      </c>
      <c r="N39" s="67" t="n">
        <v>0</v>
      </c>
    </row>
    <row r="40">
      <c r="A40" s="26" t="inlineStr">
        <is>
          <t>8801448767591</t>
        </is>
      </c>
      <c r="B40" s="13" t="inlineStr">
        <is>
          <t>온라인</t>
        </is>
      </c>
      <c r="C40" s="67" t="n">
        <v>0</v>
      </c>
      <c r="D40" s="67" t="n">
        <v>0</v>
      </c>
      <c r="E40" s="67" t="n">
        <v>0</v>
      </c>
      <c r="F40" s="67" t="n">
        <v>0</v>
      </c>
      <c r="G40" s="67" t="n">
        <v>0</v>
      </c>
      <c r="H40" s="67" t="n">
        <v>0</v>
      </c>
      <c r="I40" s="67" t="n">
        <v>579480</v>
      </c>
      <c r="J40" s="67" t="n">
        <v>394320</v>
      </c>
      <c r="K40" s="67" t="n">
        <v>456540</v>
      </c>
      <c r="L40" s="67" t="n">
        <v>0</v>
      </c>
      <c r="M40" s="67" t="n">
        <v>0</v>
      </c>
      <c r="N40" s="67" t="n">
        <v>0</v>
      </c>
    </row>
    <row r="41">
      <c r="A41" s="26" t="inlineStr">
        <is>
          <t>8801448768406</t>
        </is>
      </c>
      <c r="B41" s="13" t="inlineStr">
        <is>
          <t>계통대리점</t>
        </is>
      </c>
      <c r="C41" s="67" t="n">
        <v>0</v>
      </c>
      <c r="D41" s="67" t="n">
        <v>0</v>
      </c>
      <c r="E41" s="67" t="n">
        <v>0</v>
      </c>
      <c r="F41" s="67" t="n">
        <v>0</v>
      </c>
      <c r="G41" s="67" t="n">
        <v>0</v>
      </c>
      <c r="H41" s="67" t="n">
        <v>506576</v>
      </c>
      <c r="I41" s="67" t="n">
        <v>9668804</v>
      </c>
      <c r="J41" s="67" t="n">
        <v>16391028</v>
      </c>
      <c r="K41" s="67" t="n">
        <v>6731838</v>
      </c>
      <c r="L41" s="67" t="n">
        <v>2457588</v>
      </c>
      <c r="M41" s="67" t="n">
        <v>0</v>
      </c>
      <c r="N41" s="67" t="n">
        <v>0</v>
      </c>
    </row>
    <row r="42">
      <c r="A42" s="26" t="inlineStr">
        <is>
          <t>8801448768406</t>
        </is>
      </c>
      <c r="B42" s="13" t="inlineStr">
        <is>
          <t>시판대리점</t>
        </is>
      </c>
      <c r="C42" s="67" t="n">
        <v>0</v>
      </c>
      <c r="D42" s="67" t="n">
        <v>0</v>
      </c>
      <c r="E42" s="67" t="n">
        <v>0</v>
      </c>
      <c r="F42" s="67" t="n">
        <v>0</v>
      </c>
      <c r="G42" s="67" t="n">
        <v>0</v>
      </c>
      <c r="H42" s="67" t="n">
        <v>48960</v>
      </c>
      <c r="I42" s="67" t="n">
        <v>342720</v>
      </c>
      <c r="J42" s="67" t="n">
        <v>538560</v>
      </c>
      <c r="K42" s="67" t="n">
        <v>97920</v>
      </c>
      <c r="L42" s="67" t="n">
        <v>146880</v>
      </c>
      <c r="M42" s="67" t="n">
        <v>0</v>
      </c>
      <c r="N42" s="67" t="n">
        <v>0</v>
      </c>
    </row>
    <row r="43">
      <c r="A43" s="26" t="inlineStr">
        <is>
          <t>8801448768406</t>
        </is>
      </c>
      <c r="B43" s="13" t="inlineStr">
        <is>
          <t>온라인</t>
        </is>
      </c>
      <c r="C43" s="67" t="n">
        <v>0</v>
      </c>
      <c r="D43" s="67" t="n">
        <v>0</v>
      </c>
      <c r="E43" s="67" t="n">
        <v>0</v>
      </c>
      <c r="F43" s="67" t="n">
        <v>0</v>
      </c>
      <c r="G43" s="67" t="n">
        <v>0</v>
      </c>
      <c r="H43" s="67" t="n">
        <v>0</v>
      </c>
      <c r="I43" s="67" t="n">
        <v>594914</v>
      </c>
      <c r="J43" s="67" t="n">
        <v>353473</v>
      </c>
      <c r="K43" s="67" t="n">
        <v>552655</v>
      </c>
      <c r="L43" s="67" t="n">
        <v>0</v>
      </c>
      <c r="M43" s="67" t="n">
        <v>0</v>
      </c>
      <c r="N43" s="67" t="n">
        <v>0</v>
      </c>
    </row>
    <row r="44">
      <c r="A44" s="26" t="inlineStr">
        <is>
          <t>8801448768406</t>
        </is>
      </c>
      <c r="B44" s="13" t="inlineStr">
        <is>
          <t>유통(대외판매)</t>
        </is>
      </c>
      <c r="C44" s="67" t="n">
        <v>0</v>
      </c>
      <c r="D44" s="67" t="n">
        <v>0</v>
      </c>
      <c r="E44" s="67" t="n">
        <v>0</v>
      </c>
      <c r="F44" s="67" t="n">
        <v>0</v>
      </c>
      <c r="G44" s="67" t="n">
        <v>0</v>
      </c>
      <c r="H44" s="67" t="n">
        <v>0</v>
      </c>
      <c r="I44" s="67" t="n">
        <v>216948</v>
      </c>
      <c r="J44" s="67" t="n">
        <v>592645</v>
      </c>
      <c r="K44" s="67" t="n">
        <v>182353</v>
      </c>
      <c r="L44" s="67" t="n">
        <v>0</v>
      </c>
      <c r="M44" s="67" t="n">
        <v>0</v>
      </c>
      <c r="N44" s="67" t="n">
        <v>0</v>
      </c>
    </row>
    <row r="45">
      <c r="A45" s="26" t="inlineStr">
        <is>
          <t>8801448768406</t>
        </is>
      </c>
      <c r="B45" s="13" t="inlineStr">
        <is>
          <t>특판</t>
        </is>
      </c>
      <c r="C45" s="67" t="n">
        <v>0</v>
      </c>
      <c r="D45" s="67" t="n">
        <v>0</v>
      </c>
      <c r="E45" s="67" t="n">
        <v>0</v>
      </c>
      <c r="F45" s="67" t="n">
        <v>0</v>
      </c>
      <c r="G45" s="67" t="n">
        <v>0</v>
      </c>
      <c r="H45" s="67" t="n">
        <v>0</v>
      </c>
      <c r="I45" s="67" t="n">
        <v>7886127</v>
      </c>
      <c r="J45" s="67" t="n">
        <v>362673</v>
      </c>
      <c r="K45" s="67" t="n">
        <v>3436</v>
      </c>
      <c r="L45" s="67" t="n">
        <v>0</v>
      </c>
      <c r="M45" s="67" t="n">
        <v>0</v>
      </c>
      <c r="N45" s="67" t="n">
        <v>0</v>
      </c>
    </row>
    <row r="46">
      <c r="A46" s="26" t="inlineStr">
        <is>
          <t>8801448768406</t>
        </is>
      </c>
      <c r="B46" s="13" t="inlineStr">
        <is>
          <t>홈쇼핑</t>
        </is>
      </c>
      <c r="C46" s="67" t="n">
        <v>0</v>
      </c>
      <c r="D46" s="67" t="n">
        <v>0</v>
      </c>
      <c r="E46" s="67" t="n">
        <v>0</v>
      </c>
      <c r="F46" s="67" t="n">
        <v>0</v>
      </c>
      <c r="G46" s="67" t="n">
        <v>0</v>
      </c>
      <c r="H46" s="67" t="n">
        <v>0</v>
      </c>
      <c r="I46" s="67" t="n">
        <v>309091</v>
      </c>
      <c r="J46" s="67" t="n">
        <v>119612</v>
      </c>
      <c r="K46" s="67" t="n">
        <v>329964</v>
      </c>
      <c r="L46" s="67" t="n">
        <v>0</v>
      </c>
      <c r="M46" s="67" t="n">
        <v>0</v>
      </c>
      <c r="N46" s="67" t="n">
        <v>0</v>
      </c>
    </row>
    <row r="47">
      <c r="A47" s="26" t="inlineStr">
        <is>
          <t>8801448768673</t>
        </is>
      </c>
      <c r="B47" s="13" t="inlineStr">
        <is>
          <t>계통대리점</t>
        </is>
      </c>
      <c r="C47" s="67" t="n">
        <v>0</v>
      </c>
      <c r="D47" s="67" t="n">
        <v>0</v>
      </c>
      <c r="E47" s="67" t="n">
        <v>0</v>
      </c>
      <c r="F47" s="67" t="n">
        <v>0</v>
      </c>
      <c r="G47" s="67" t="n">
        <v>0</v>
      </c>
      <c r="H47" s="67" t="n">
        <v>0</v>
      </c>
      <c r="I47" s="67" t="n">
        <v>5780874</v>
      </c>
      <c r="J47" s="67" t="n">
        <v>11672029</v>
      </c>
      <c r="K47" s="67" t="n">
        <v>75783505</v>
      </c>
      <c r="L47" s="67" t="n">
        <v>5372657</v>
      </c>
      <c r="M47" s="67" t="n">
        <v>0</v>
      </c>
      <c r="N47" s="67" t="n">
        <v>0</v>
      </c>
    </row>
    <row r="48">
      <c r="A48" s="26" t="inlineStr">
        <is>
          <t>8801448768673</t>
        </is>
      </c>
      <c r="B48" s="13" t="inlineStr">
        <is>
          <t>시판대리점</t>
        </is>
      </c>
      <c r="C48" s="67" t="n">
        <v>0</v>
      </c>
      <c r="D48" s="67" t="n">
        <v>0</v>
      </c>
      <c r="E48" s="67" t="n">
        <v>0</v>
      </c>
      <c r="F48" s="67" t="n">
        <v>0</v>
      </c>
      <c r="G48" s="67" t="n">
        <v>0</v>
      </c>
      <c r="H48" s="67" t="n">
        <v>0</v>
      </c>
      <c r="I48" s="67" t="n">
        <v>2526000</v>
      </c>
      <c r="J48" s="67" t="n">
        <v>13089120</v>
      </c>
      <c r="K48" s="67" t="n">
        <v>4762603</v>
      </c>
      <c r="L48" s="67" t="n">
        <v>229352</v>
      </c>
      <c r="M48" s="67" t="n">
        <v>0</v>
      </c>
      <c r="N48" s="67" t="n">
        <v>0</v>
      </c>
    </row>
    <row r="49">
      <c r="A49" s="26" t="inlineStr">
        <is>
          <t>8801448768673</t>
        </is>
      </c>
      <c r="B49" s="13" t="inlineStr">
        <is>
          <t>온라인</t>
        </is>
      </c>
      <c r="C49" s="67" t="n">
        <v>0</v>
      </c>
      <c r="D49" s="67" t="n">
        <v>0</v>
      </c>
      <c r="E49" s="67" t="n">
        <v>0</v>
      </c>
      <c r="F49" s="67" t="n">
        <v>0</v>
      </c>
      <c r="G49" s="67" t="n">
        <v>0</v>
      </c>
      <c r="H49" s="67" t="n">
        <v>0</v>
      </c>
      <c r="I49" s="67" t="n">
        <v>0</v>
      </c>
      <c r="J49" s="67" t="n">
        <v>0</v>
      </c>
      <c r="K49" s="67" t="n">
        <v>77497</v>
      </c>
      <c r="L49" s="67" t="n">
        <v>0</v>
      </c>
      <c r="M49" s="67" t="n">
        <v>0</v>
      </c>
      <c r="N49" s="67" t="n">
        <v>0</v>
      </c>
    </row>
    <row r="50">
      <c r="A50" s="26" t="inlineStr">
        <is>
          <t>8801448768673</t>
        </is>
      </c>
      <c r="B50" s="13" t="inlineStr">
        <is>
          <t>유통(대외판매)</t>
        </is>
      </c>
      <c r="C50" s="67" t="n">
        <v>0</v>
      </c>
      <c r="D50" s="67" t="n">
        <v>0</v>
      </c>
      <c r="E50" s="67" t="n">
        <v>0</v>
      </c>
      <c r="F50" s="67" t="n">
        <v>0</v>
      </c>
      <c r="G50" s="67" t="n">
        <v>0</v>
      </c>
      <c r="H50" s="67" t="n">
        <v>0</v>
      </c>
      <c r="I50" s="67" t="n">
        <v>128964</v>
      </c>
      <c r="J50" s="67" t="n">
        <v>12171767</v>
      </c>
      <c r="K50" s="67" t="n">
        <v>1637975</v>
      </c>
      <c r="L50" s="67" t="n">
        <v>0</v>
      </c>
      <c r="M50" s="67" t="n">
        <v>0</v>
      </c>
      <c r="N50" s="67" t="n">
        <v>0</v>
      </c>
    </row>
    <row r="51">
      <c r="A51" s="26" t="inlineStr">
        <is>
          <t>8801448768673</t>
        </is>
      </c>
      <c r="B51" s="13" t="inlineStr">
        <is>
          <t>특판</t>
        </is>
      </c>
      <c r="C51" s="67" t="n">
        <v>0</v>
      </c>
      <c r="D51" s="67" t="n">
        <v>0</v>
      </c>
      <c r="E51" s="67" t="n">
        <v>0</v>
      </c>
      <c r="F51" s="67" t="n">
        <v>0</v>
      </c>
      <c r="G51" s="67" t="n">
        <v>0</v>
      </c>
      <c r="H51" s="67" t="n">
        <v>0</v>
      </c>
      <c r="I51" s="67" t="n">
        <v>54182</v>
      </c>
      <c r="J51" s="67" t="n">
        <v>164618</v>
      </c>
      <c r="K51" s="67" t="n">
        <v>12438</v>
      </c>
      <c r="L51" s="67" t="n">
        <v>27091</v>
      </c>
      <c r="M51" s="67" t="n">
        <v>0</v>
      </c>
      <c r="N51" s="67" t="n">
        <v>0</v>
      </c>
    </row>
    <row r="52">
      <c r="A52" s="26" t="inlineStr">
        <is>
          <t>8801448769588</t>
        </is>
      </c>
      <c r="B52" s="13" t="inlineStr">
        <is>
          <t>계통대리점</t>
        </is>
      </c>
      <c r="C52" s="67" t="n">
        <v>0</v>
      </c>
      <c r="D52" s="67" t="n">
        <v>0</v>
      </c>
      <c r="E52" s="67" t="n">
        <v>0</v>
      </c>
      <c r="F52" s="67" t="n">
        <v>0</v>
      </c>
      <c r="G52" s="67" t="n">
        <v>0</v>
      </c>
      <c r="H52" s="67" t="n">
        <v>0</v>
      </c>
      <c r="I52" s="67" t="n">
        <v>0</v>
      </c>
      <c r="J52" s="67" t="n">
        <v>0</v>
      </c>
      <c r="K52" s="67" t="n">
        <v>1259166</v>
      </c>
      <c r="L52" s="67" t="n">
        <v>1361377</v>
      </c>
      <c r="M52" s="67" t="n">
        <v>0</v>
      </c>
      <c r="N52" s="67" t="n">
        <v>0</v>
      </c>
    </row>
    <row r="53">
      <c r="A53" s="26" t="inlineStr">
        <is>
          <t>8801448769588</t>
        </is>
      </c>
      <c r="B53" s="13" t="inlineStr">
        <is>
          <t>온라인</t>
        </is>
      </c>
      <c r="C53" s="67" t="n">
        <v>0</v>
      </c>
      <c r="D53" s="67" t="n">
        <v>0</v>
      </c>
      <c r="E53" s="67" t="n">
        <v>0</v>
      </c>
      <c r="F53" s="67" t="n">
        <v>0</v>
      </c>
      <c r="G53" s="67" t="n">
        <v>0</v>
      </c>
      <c r="H53" s="67" t="n">
        <v>0</v>
      </c>
      <c r="I53" s="67" t="n">
        <v>0</v>
      </c>
      <c r="J53" s="67" t="n">
        <v>0</v>
      </c>
      <c r="K53" s="67" t="n">
        <v>30982</v>
      </c>
      <c r="L53" s="67" t="n">
        <v>0</v>
      </c>
      <c r="M53" s="67" t="n">
        <v>0</v>
      </c>
      <c r="N53" s="67" t="n">
        <v>0</v>
      </c>
    </row>
    <row r="54">
      <c r="A54" s="26" t="inlineStr">
        <is>
          <t>8801448769588</t>
        </is>
      </c>
      <c r="B54" s="13" t="inlineStr">
        <is>
          <t>특판</t>
        </is>
      </c>
      <c r="C54" s="67" t="n">
        <v>0</v>
      </c>
      <c r="D54" s="67" t="n">
        <v>0</v>
      </c>
      <c r="E54" s="67" t="n">
        <v>0</v>
      </c>
      <c r="F54" s="67" t="n">
        <v>0</v>
      </c>
      <c r="G54" s="67" t="n">
        <v>0</v>
      </c>
      <c r="H54" s="67" t="n">
        <v>0</v>
      </c>
      <c r="I54" s="67" t="n">
        <v>0</v>
      </c>
      <c r="J54" s="67" t="n">
        <v>0</v>
      </c>
      <c r="K54" s="67" t="n">
        <v>638445</v>
      </c>
      <c r="L54" s="67" t="n">
        <v>0</v>
      </c>
      <c r="M54" s="67" t="n">
        <v>0</v>
      </c>
      <c r="N54" s="67" t="n">
        <v>0</v>
      </c>
    </row>
    <row r="55">
      <c r="A55" s="26" t="inlineStr">
        <is>
          <t>8801448773585</t>
        </is>
      </c>
      <c r="B55" s="13" t="inlineStr">
        <is>
          <t>계통대리점</t>
        </is>
      </c>
      <c r="C55" s="67" t="n">
        <v>0</v>
      </c>
      <c r="D55" s="67" t="n">
        <v>0</v>
      </c>
      <c r="E55" s="67" t="n">
        <v>0</v>
      </c>
      <c r="F55" s="67" t="n">
        <v>0</v>
      </c>
      <c r="G55" s="67" t="n">
        <v>0</v>
      </c>
      <c r="H55" s="67" t="n">
        <v>0</v>
      </c>
      <c r="I55" s="67" t="n">
        <v>0</v>
      </c>
      <c r="J55" s="67" t="n">
        <v>1299893</v>
      </c>
      <c r="K55" s="67" t="n">
        <v>2692849</v>
      </c>
      <c r="L55" s="67" t="n">
        <v>3209584</v>
      </c>
      <c r="M55" s="67" t="n">
        <v>0</v>
      </c>
      <c r="N55" s="67" t="n">
        <v>0</v>
      </c>
    </row>
    <row r="56">
      <c r="A56" s="26" t="inlineStr">
        <is>
          <t>8801448773585</t>
        </is>
      </c>
      <c r="B56" s="13" t="inlineStr">
        <is>
          <t>시판대리점</t>
        </is>
      </c>
      <c r="C56" s="67" t="n">
        <v>0</v>
      </c>
      <c r="D56" s="67" t="n">
        <v>0</v>
      </c>
      <c r="E56" s="67" t="n">
        <v>0</v>
      </c>
      <c r="F56" s="67" t="n">
        <v>0</v>
      </c>
      <c r="G56" s="67" t="n">
        <v>0</v>
      </c>
      <c r="H56" s="67" t="n">
        <v>0</v>
      </c>
      <c r="I56" s="67" t="n">
        <v>0</v>
      </c>
      <c r="J56" s="67" t="n">
        <v>0</v>
      </c>
      <c r="K56" s="67" t="n">
        <v>195927</v>
      </c>
      <c r="L56" s="67" t="n">
        <v>685746</v>
      </c>
      <c r="M56" s="67" t="n">
        <v>0</v>
      </c>
      <c r="N56" s="67" t="n">
        <v>0</v>
      </c>
    </row>
    <row r="57">
      <c r="A57" s="26" t="inlineStr">
        <is>
          <t>8801448773585</t>
        </is>
      </c>
      <c r="B57" s="13" t="inlineStr">
        <is>
          <t>온라인</t>
        </is>
      </c>
      <c r="C57" s="67" t="n">
        <v>0</v>
      </c>
      <c r="D57" s="67" t="n">
        <v>0</v>
      </c>
      <c r="E57" s="67" t="n">
        <v>0</v>
      </c>
      <c r="F57" s="67" t="n">
        <v>0</v>
      </c>
      <c r="G57" s="67" t="n">
        <v>0</v>
      </c>
      <c r="H57" s="67" t="n">
        <v>0</v>
      </c>
      <c r="I57" s="67" t="n">
        <v>0</v>
      </c>
      <c r="J57" s="67" t="n">
        <v>32745</v>
      </c>
      <c r="K57" s="67" t="n">
        <v>230460</v>
      </c>
      <c r="L57" s="67" t="n">
        <v>0</v>
      </c>
      <c r="M57" s="67" t="n">
        <v>0</v>
      </c>
      <c r="N57" s="67" t="n">
        <v>0</v>
      </c>
    </row>
    <row r="58">
      <c r="A58" s="26" t="inlineStr">
        <is>
          <t>8801448773585</t>
        </is>
      </c>
      <c r="B58" s="13" t="inlineStr">
        <is>
          <t>특판</t>
        </is>
      </c>
      <c r="C58" s="67" t="n">
        <v>0</v>
      </c>
      <c r="D58" s="67" t="n">
        <v>0</v>
      </c>
      <c r="E58" s="67" t="n">
        <v>0</v>
      </c>
      <c r="F58" s="67" t="n">
        <v>0</v>
      </c>
      <c r="G58" s="67" t="n">
        <v>0</v>
      </c>
      <c r="H58" s="67" t="n">
        <v>0</v>
      </c>
      <c r="I58" s="67" t="n">
        <v>0</v>
      </c>
      <c r="J58" s="67" t="n">
        <v>0</v>
      </c>
      <c r="K58" s="67" t="n">
        <v>56727</v>
      </c>
      <c r="L58" s="67" t="n">
        <v>4727</v>
      </c>
      <c r="M58" s="67" t="n">
        <v>0</v>
      </c>
      <c r="N58" s="67" t="n">
        <v>0</v>
      </c>
    </row>
    <row r="59">
      <c r="A59" s="26" t="inlineStr">
        <is>
          <t>8801448773592</t>
        </is>
      </c>
      <c r="B59" s="13" t="inlineStr">
        <is>
          <t>계통대리점</t>
        </is>
      </c>
      <c r="C59" s="67" t="n">
        <v>0</v>
      </c>
      <c r="D59" s="67" t="n">
        <v>0</v>
      </c>
      <c r="E59" s="67" t="n">
        <v>0</v>
      </c>
      <c r="F59" s="67" t="n">
        <v>0</v>
      </c>
      <c r="G59" s="67" t="n">
        <v>0</v>
      </c>
      <c r="H59" s="67" t="n">
        <v>0</v>
      </c>
      <c r="I59" s="67" t="n">
        <v>0</v>
      </c>
      <c r="J59" s="67" t="n">
        <v>1714627</v>
      </c>
      <c r="K59" s="67" t="n">
        <v>3302259</v>
      </c>
      <c r="L59" s="67" t="n">
        <v>3816199</v>
      </c>
      <c r="M59" s="67" t="n">
        <v>0</v>
      </c>
      <c r="N59" s="67" t="n">
        <v>0</v>
      </c>
    </row>
    <row r="60">
      <c r="A60" s="26" t="inlineStr">
        <is>
          <t>8801448773592</t>
        </is>
      </c>
      <c r="B60" s="13" t="inlineStr">
        <is>
          <t>시판대리점</t>
        </is>
      </c>
      <c r="C60" s="67" t="n">
        <v>0</v>
      </c>
      <c r="D60" s="67" t="n">
        <v>0</v>
      </c>
      <c r="E60" s="67" t="n">
        <v>0</v>
      </c>
      <c r="F60" s="67" t="n">
        <v>0</v>
      </c>
      <c r="G60" s="67" t="n">
        <v>0</v>
      </c>
      <c r="H60" s="67" t="n">
        <v>0</v>
      </c>
      <c r="I60" s="67" t="n">
        <v>0</v>
      </c>
      <c r="J60" s="67" t="n">
        <v>0</v>
      </c>
      <c r="K60" s="67" t="n">
        <v>342872</v>
      </c>
      <c r="L60" s="67" t="n">
        <v>636764</v>
      </c>
      <c r="M60" s="67" t="n">
        <v>0</v>
      </c>
      <c r="N60" s="67" t="n">
        <v>0</v>
      </c>
    </row>
    <row r="61">
      <c r="A61" s="26" t="inlineStr">
        <is>
          <t>8801448773592</t>
        </is>
      </c>
      <c r="B61" s="13" t="inlineStr">
        <is>
          <t>온라인</t>
        </is>
      </c>
      <c r="C61" s="67" t="n">
        <v>0</v>
      </c>
      <c r="D61" s="67" t="n">
        <v>0</v>
      </c>
      <c r="E61" s="67" t="n">
        <v>0</v>
      </c>
      <c r="F61" s="67" t="n">
        <v>0</v>
      </c>
      <c r="G61" s="67" t="n">
        <v>0</v>
      </c>
      <c r="H61" s="67" t="n">
        <v>0</v>
      </c>
      <c r="I61" s="67" t="n">
        <v>0</v>
      </c>
      <c r="J61" s="67" t="n">
        <v>49118</v>
      </c>
      <c r="K61" s="67" t="n">
        <v>246490</v>
      </c>
      <c r="L61" s="67" t="n">
        <v>0</v>
      </c>
      <c r="M61" s="67" t="n">
        <v>0</v>
      </c>
      <c r="N61" s="67" t="n">
        <v>0</v>
      </c>
    </row>
    <row r="62">
      <c r="A62" s="26" t="inlineStr">
        <is>
          <t>8801448773592</t>
        </is>
      </c>
      <c r="B62" s="13" t="inlineStr">
        <is>
          <t>특판</t>
        </is>
      </c>
      <c r="C62" s="67" t="n">
        <v>0</v>
      </c>
      <c r="D62" s="67" t="n">
        <v>0</v>
      </c>
      <c r="E62" s="67" t="n">
        <v>0</v>
      </c>
      <c r="F62" s="67" t="n">
        <v>0</v>
      </c>
      <c r="G62" s="67" t="n">
        <v>0</v>
      </c>
      <c r="H62" s="67" t="n">
        <v>0</v>
      </c>
      <c r="I62" s="67" t="n">
        <v>0</v>
      </c>
      <c r="J62" s="67" t="n">
        <v>0</v>
      </c>
      <c r="K62" s="67" t="n">
        <v>66181</v>
      </c>
      <c r="L62" s="67" t="n">
        <v>9454</v>
      </c>
      <c r="M62" s="67" t="n">
        <v>0</v>
      </c>
      <c r="N62" s="67" t="n">
        <v>0</v>
      </c>
    </row>
    <row r="63">
      <c r="A63" s="26" t="inlineStr">
        <is>
          <t>8801448773608</t>
        </is>
      </c>
      <c r="B63" s="13" t="inlineStr">
        <is>
          <t>계통대리점</t>
        </is>
      </c>
      <c r="C63" s="67" t="n">
        <v>0</v>
      </c>
      <c r="D63" s="67" t="n">
        <v>0</v>
      </c>
      <c r="E63" s="67" t="n">
        <v>0</v>
      </c>
      <c r="F63" s="67" t="n">
        <v>0</v>
      </c>
      <c r="G63" s="67" t="n">
        <v>0</v>
      </c>
      <c r="H63" s="67" t="n">
        <v>0</v>
      </c>
      <c r="I63" s="67" t="n">
        <v>0</v>
      </c>
      <c r="J63" s="67" t="n">
        <v>1269279</v>
      </c>
      <c r="K63" s="67" t="n">
        <v>3213670</v>
      </c>
      <c r="L63" s="67" t="n">
        <v>2608353</v>
      </c>
      <c r="M63" s="67" t="n">
        <v>0</v>
      </c>
      <c r="N63" s="67" t="n">
        <v>0</v>
      </c>
    </row>
    <row r="64">
      <c r="A64" s="26" t="inlineStr">
        <is>
          <t>8801448773608</t>
        </is>
      </c>
      <c r="B64" s="13" t="inlineStr">
        <is>
          <t>시판대리점</t>
        </is>
      </c>
      <c r="C64" s="67" t="n">
        <v>0</v>
      </c>
      <c r="D64" s="67" t="n">
        <v>0</v>
      </c>
      <c r="E64" s="67" t="n">
        <v>0</v>
      </c>
      <c r="F64" s="67" t="n">
        <v>0</v>
      </c>
      <c r="G64" s="67" t="n">
        <v>0</v>
      </c>
      <c r="H64" s="67" t="n">
        <v>0</v>
      </c>
      <c r="I64" s="67" t="n">
        <v>0</v>
      </c>
      <c r="J64" s="67" t="n">
        <v>0</v>
      </c>
      <c r="K64" s="67" t="n">
        <v>228436</v>
      </c>
      <c r="L64" s="67" t="n">
        <v>548248</v>
      </c>
      <c r="M64" s="67" t="n">
        <v>0</v>
      </c>
      <c r="N64" s="67" t="n">
        <v>0</v>
      </c>
    </row>
    <row r="65">
      <c r="A65" s="26" t="inlineStr">
        <is>
          <t>8801448773608</t>
        </is>
      </c>
      <c r="B65" s="13" t="inlineStr">
        <is>
          <t>온라인</t>
        </is>
      </c>
      <c r="C65" s="67" t="n">
        <v>0</v>
      </c>
      <c r="D65" s="67" t="n">
        <v>0</v>
      </c>
      <c r="E65" s="67" t="n">
        <v>0</v>
      </c>
      <c r="F65" s="67" t="n">
        <v>0</v>
      </c>
      <c r="G65" s="67" t="n">
        <v>0</v>
      </c>
      <c r="H65" s="67" t="n">
        <v>0</v>
      </c>
      <c r="I65" s="67" t="n">
        <v>0</v>
      </c>
      <c r="J65" s="67" t="n">
        <v>12909</v>
      </c>
      <c r="K65" s="67" t="n">
        <v>231749</v>
      </c>
      <c r="L65" s="67" t="n">
        <v>0</v>
      </c>
      <c r="M65" s="67" t="n">
        <v>0</v>
      </c>
      <c r="N65" s="67" t="n">
        <v>0</v>
      </c>
    </row>
    <row r="66">
      <c r="A66" s="26" t="inlineStr">
        <is>
          <t>8801448773608</t>
        </is>
      </c>
      <c r="B66" s="13" t="inlineStr">
        <is>
          <t>특판</t>
        </is>
      </c>
      <c r="C66" s="67" t="n">
        <v>0</v>
      </c>
      <c r="D66" s="67" t="n">
        <v>0</v>
      </c>
      <c r="E66" s="67" t="n">
        <v>0</v>
      </c>
      <c r="F66" s="67" t="n">
        <v>0</v>
      </c>
      <c r="G66" s="67" t="n">
        <v>0</v>
      </c>
      <c r="H66" s="67" t="n">
        <v>0</v>
      </c>
      <c r="I66" s="67" t="n">
        <v>0</v>
      </c>
      <c r="J66" s="67" t="n">
        <v>0</v>
      </c>
      <c r="K66" s="67" t="n">
        <v>62545</v>
      </c>
      <c r="L66" s="67" t="n">
        <v>7818</v>
      </c>
      <c r="M66" s="67" t="n">
        <v>0</v>
      </c>
      <c r="N66" s="67" t="n">
        <v>0</v>
      </c>
    </row>
    <row r="67">
      <c r="A67" s="26" t="inlineStr">
        <is>
          <t>8801448775688</t>
        </is>
      </c>
      <c r="B67" s="13" t="inlineStr">
        <is>
          <t>계통대리점</t>
        </is>
      </c>
      <c r="C67" s="67" t="n">
        <v>0</v>
      </c>
      <c r="D67" s="67" t="n">
        <v>0</v>
      </c>
      <c r="E67" s="67" t="n">
        <v>0</v>
      </c>
      <c r="F67" s="67" t="n">
        <v>0</v>
      </c>
      <c r="G67" s="67" t="n">
        <v>0</v>
      </c>
      <c r="H67" s="67" t="n">
        <v>0</v>
      </c>
      <c r="I67" s="67" t="n">
        <v>0</v>
      </c>
      <c r="J67" s="67" t="n">
        <v>108138280</v>
      </c>
      <c r="K67" s="67" t="n">
        <v>202248793</v>
      </c>
      <c r="L67" s="67" t="n">
        <v>118781362</v>
      </c>
      <c r="M67" s="67" t="n">
        <v>0</v>
      </c>
      <c r="N67" s="67" t="n">
        <v>0</v>
      </c>
    </row>
    <row r="68">
      <c r="A68" s="26" t="inlineStr">
        <is>
          <t>8801448776562</t>
        </is>
      </c>
      <c r="B68" s="13" t="inlineStr">
        <is>
          <t>계통대리점</t>
        </is>
      </c>
      <c r="C68" s="67" t="n">
        <v>0</v>
      </c>
      <c r="D68" s="67" t="n">
        <v>0</v>
      </c>
      <c r="E68" s="67" t="n">
        <v>0</v>
      </c>
      <c r="F68" s="67" t="n">
        <v>0</v>
      </c>
      <c r="G68" s="67" t="n">
        <v>0</v>
      </c>
      <c r="H68" s="67" t="n">
        <v>0</v>
      </c>
      <c r="I68" s="67" t="n">
        <v>0</v>
      </c>
      <c r="J68" s="67" t="n">
        <v>0</v>
      </c>
      <c r="K68" s="67" t="n">
        <v>0</v>
      </c>
      <c r="L68" s="67" t="n">
        <v>1480371</v>
      </c>
      <c r="M68" s="67" t="n">
        <v>0</v>
      </c>
      <c r="N68" s="67" t="n">
        <v>0</v>
      </c>
    </row>
    <row r="69">
      <c r="A69" s="26" t="inlineStr">
        <is>
          <t>8801448776753</t>
        </is>
      </c>
      <c r="B69" s="13" t="inlineStr">
        <is>
          <t>계통대리점</t>
        </is>
      </c>
      <c r="C69" s="67" t="n">
        <v>0</v>
      </c>
      <c r="D69" s="67" t="n">
        <v>0</v>
      </c>
      <c r="E69" s="67" t="n">
        <v>0</v>
      </c>
      <c r="F69" s="67" t="n">
        <v>0</v>
      </c>
      <c r="G69" s="67" t="n">
        <v>0</v>
      </c>
      <c r="H69" s="67" t="n">
        <v>0</v>
      </c>
      <c r="I69" s="67" t="n">
        <v>0</v>
      </c>
      <c r="J69" s="67" t="n">
        <v>0</v>
      </c>
      <c r="K69" s="67" t="n">
        <v>0</v>
      </c>
      <c r="L69" s="67" t="n">
        <v>243546</v>
      </c>
      <c r="M69" s="67" t="n">
        <v>0</v>
      </c>
      <c r="N69" s="67" t="n">
        <v>0</v>
      </c>
    </row>
    <row r="70">
      <c r="A70" s="26" t="inlineStr">
        <is>
          <t>8801448776760</t>
        </is>
      </c>
      <c r="B70" s="13" t="inlineStr">
        <is>
          <t>계통대리점</t>
        </is>
      </c>
      <c r="C70" s="67" t="n">
        <v>0</v>
      </c>
      <c r="D70" s="67" t="n">
        <v>0</v>
      </c>
      <c r="E70" s="67" t="n">
        <v>0</v>
      </c>
      <c r="F70" s="67" t="n">
        <v>0</v>
      </c>
      <c r="G70" s="67" t="n">
        <v>0</v>
      </c>
      <c r="H70" s="67" t="n">
        <v>0</v>
      </c>
      <c r="I70" s="67" t="n">
        <v>0</v>
      </c>
      <c r="J70" s="67" t="n">
        <v>0</v>
      </c>
      <c r="K70" s="67" t="n">
        <v>0</v>
      </c>
      <c r="L70" s="67" t="n">
        <v>144655</v>
      </c>
      <c r="M70" s="67" t="n">
        <v>0</v>
      </c>
      <c r="N70" s="67" t="n">
        <v>0</v>
      </c>
    </row>
    <row r="71">
      <c r="A71" s="26" t="inlineStr">
        <is>
          <t>8801448776760</t>
        </is>
      </c>
      <c r="B71" s="13" t="inlineStr">
        <is>
          <t>특판</t>
        </is>
      </c>
      <c r="C71" s="67" t="n">
        <v>0</v>
      </c>
      <c r="D71" s="67" t="n">
        <v>0</v>
      </c>
      <c r="E71" s="67" t="n">
        <v>0</v>
      </c>
      <c r="F71" s="67" t="n">
        <v>0</v>
      </c>
      <c r="G71" s="67" t="n">
        <v>0</v>
      </c>
      <c r="H71" s="67" t="n">
        <v>0</v>
      </c>
      <c r="I71" s="67" t="n">
        <v>0</v>
      </c>
      <c r="J71" s="67" t="n">
        <v>0</v>
      </c>
      <c r="K71" s="67" t="n">
        <v>0</v>
      </c>
      <c r="L71" s="67" t="n">
        <v>102909</v>
      </c>
      <c r="M71" s="67" t="n">
        <v>0</v>
      </c>
      <c r="N71" s="67" t="n">
        <v>0</v>
      </c>
    </row>
    <row r="72">
      <c r="A72" s="26" t="inlineStr">
        <is>
          <t>8803459000346</t>
        </is>
      </c>
      <c r="B72" s="13" t="inlineStr">
        <is>
          <t>계통대리점</t>
        </is>
      </c>
      <c r="C72" s="67" t="n">
        <v>0</v>
      </c>
      <c r="D72" s="67" t="n">
        <v>0</v>
      </c>
      <c r="E72" s="67" t="n">
        <v>0</v>
      </c>
      <c r="F72" s="67" t="n">
        <v>0</v>
      </c>
      <c r="G72" s="67" t="n">
        <v>0</v>
      </c>
      <c r="H72" s="67" t="n">
        <v>0</v>
      </c>
      <c r="I72" s="67" t="n">
        <v>0</v>
      </c>
      <c r="J72" s="67" t="n">
        <v>2424629</v>
      </c>
      <c r="K72" s="67" t="n">
        <v>12097237</v>
      </c>
      <c r="L72" s="67" t="n">
        <v>4483664</v>
      </c>
      <c r="M72" s="67" t="n">
        <v>0</v>
      </c>
      <c r="N72" s="67" t="n">
        <v>0</v>
      </c>
    </row>
    <row r="73">
      <c r="A73" s="26" t="inlineStr">
        <is>
          <t>8803459000346</t>
        </is>
      </c>
      <c r="B73" s="13" t="inlineStr">
        <is>
          <t>시판대리점</t>
        </is>
      </c>
      <c r="C73" s="67" t="n">
        <v>0</v>
      </c>
      <c r="D73" s="67" t="n">
        <v>0</v>
      </c>
      <c r="E73" s="67" t="n">
        <v>0</v>
      </c>
      <c r="F73" s="67" t="n">
        <v>0</v>
      </c>
      <c r="G73" s="67" t="n">
        <v>0</v>
      </c>
      <c r="H73" s="67" t="n">
        <v>0</v>
      </c>
      <c r="I73" s="67" t="n">
        <v>0</v>
      </c>
      <c r="J73" s="67" t="n">
        <v>0</v>
      </c>
      <c r="K73" s="67" t="n">
        <v>49091</v>
      </c>
      <c r="L73" s="67" t="n">
        <v>98182</v>
      </c>
      <c r="M73" s="67" t="n">
        <v>0</v>
      </c>
      <c r="N73" s="67" t="n">
        <v>0</v>
      </c>
    </row>
    <row r="74">
      <c r="A74" s="26" t="inlineStr">
        <is>
          <t>8803459001008</t>
        </is>
      </c>
      <c r="B74" s="13" t="inlineStr">
        <is>
          <t>계통대리점</t>
        </is>
      </c>
      <c r="C74" s="67" t="n">
        <v>0</v>
      </c>
      <c r="D74" s="67" t="n">
        <v>0</v>
      </c>
      <c r="E74" s="67" t="n">
        <v>0</v>
      </c>
      <c r="F74" s="67" t="n">
        <v>0</v>
      </c>
      <c r="G74" s="67" t="n">
        <v>0</v>
      </c>
      <c r="H74" s="67" t="n">
        <v>0</v>
      </c>
      <c r="I74" s="67" t="n">
        <v>0</v>
      </c>
      <c r="J74" s="67" t="n">
        <v>2186467</v>
      </c>
      <c r="K74" s="67" t="n">
        <v>12980437</v>
      </c>
      <c r="L74" s="67" t="n">
        <v>6712655</v>
      </c>
      <c r="M74" s="67" t="n">
        <v>0</v>
      </c>
      <c r="N74" s="67" t="n">
        <v>0</v>
      </c>
    </row>
    <row r="75">
      <c r="A75" s="26" t="inlineStr">
        <is>
          <t>8803459001008</t>
        </is>
      </c>
      <c r="B75" s="13" t="inlineStr">
        <is>
          <t>시판대리점</t>
        </is>
      </c>
      <c r="C75" s="67" t="n">
        <v>0</v>
      </c>
      <c r="D75" s="67" t="n">
        <v>0</v>
      </c>
      <c r="E75" s="67" t="n">
        <v>0</v>
      </c>
      <c r="F75" s="67" t="n">
        <v>0</v>
      </c>
      <c r="G75" s="67" t="n">
        <v>0</v>
      </c>
      <c r="H75" s="67" t="n">
        <v>0</v>
      </c>
      <c r="I75" s="67" t="n">
        <v>0</v>
      </c>
      <c r="J75" s="67" t="n">
        <v>0</v>
      </c>
      <c r="K75" s="67" t="n">
        <v>49091</v>
      </c>
      <c r="L75" s="67" t="n">
        <v>98182</v>
      </c>
      <c r="M75" s="67" t="n">
        <v>0</v>
      </c>
      <c r="N75" s="67" t="n">
        <v>0</v>
      </c>
    </row>
    <row r="76">
      <c r="A76" s="26" t="inlineStr">
        <is>
          <t>8803459001015</t>
        </is>
      </c>
      <c r="B76" s="13" t="inlineStr">
        <is>
          <t>계통대리점</t>
        </is>
      </c>
      <c r="C76" s="67" t="n">
        <v>0</v>
      </c>
      <c r="D76" s="67" t="n">
        <v>0</v>
      </c>
      <c r="E76" s="67" t="n">
        <v>0</v>
      </c>
      <c r="F76" s="67" t="n">
        <v>0</v>
      </c>
      <c r="G76" s="67" t="n">
        <v>0</v>
      </c>
      <c r="H76" s="67" t="n">
        <v>0</v>
      </c>
      <c r="I76" s="67" t="n">
        <v>0</v>
      </c>
      <c r="J76" s="67" t="n">
        <v>0</v>
      </c>
      <c r="K76" s="67" t="n">
        <v>0</v>
      </c>
      <c r="L76" s="67" t="n">
        <v>1282758</v>
      </c>
      <c r="M76" s="67" t="n">
        <v>0</v>
      </c>
      <c r="N76" s="67" t="n">
        <v>0</v>
      </c>
    </row>
    <row r="77">
      <c r="A77" s="26" t="inlineStr">
        <is>
          <t>8803459001015</t>
        </is>
      </c>
      <c r="B77" s="13" t="inlineStr">
        <is>
          <t>시판대리점</t>
        </is>
      </c>
      <c r="C77" s="67" t="n">
        <v>0</v>
      </c>
      <c r="D77" s="67" t="n">
        <v>0</v>
      </c>
      <c r="E77" s="67" t="n">
        <v>0</v>
      </c>
      <c r="F77" s="67" t="n">
        <v>0</v>
      </c>
      <c r="G77" s="67" t="n">
        <v>0</v>
      </c>
      <c r="H77" s="67" t="n">
        <v>0</v>
      </c>
      <c r="I77" s="67" t="n">
        <v>0</v>
      </c>
      <c r="J77" s="67" t="n">
        <v>0</v>
      </c>
      <c r="K77" s="67" t="n">
        <v>0</v>
      </c>
      <c r="L77" s="67" t="n">
        <v>49091</v>
      </c>
      <c r="M77" s="67" t="n">
        <v>0</v>
      </c>
      <c r="N77" s="67" t="n">
        <v>0</v>
      </c>
    </row>
    <row r="78">
      <c r="A78" s="26" t="inlineStr">
        <is>
          <t>8809090186722</t>
        </is>
      </c>
      <c r="B78" s="13" t="inlineStr">
        <is>
          <t>계통대리점</t>
        </is>
      </c>
      <c r="C78" s="67" t="n">
        <v>0</v>
      </c>
      <c r="D78" s="67" t="n">
        <v>0</v>
      </c>
      <c r="E78" s="67" t="n">
        <v>0</v>
      </c>
      <c r="F78" s="67" t="n">
        <v>0</v>
      </c>
      <c r="G78" s="67" t="n">
        <v>0</v>
      </c>
      <c r="H78" s="67" t="n">
        <v>0</v>
      </c>
      <c r="I78" s="67" t="n">
        <v>63055</v>
      </c>
      <c r="J78" s="67" t="n">
        <v>2042469</v>
      </c>
      <c r="K78" s="67" t="n">
        <v>1176805</v>
      </c>
      <c r="L78" s="67" t="n">
        <v>201384</v>
      </c>
      <c r="M78" s="67" t="n">
        <v>0</v>
      </c>
      <c r="N78" s="67" t="n">
        <v>0</v>
      </c>
    </row>
    <row r="79">
      <c r="A79" s="26" t="inlineStr">
        <is>
          <t>8809097163559</t>
        </is>
      </c>
      <c r="B79" s="13" t="inlineStr">
        <is>
          <t>특판</t>
        </is>
      </c>
      <c r="C79" s="67" t="n">
        <v>0</v>
      </c>
      <c r="D79" s="67" t="n">
        <v>0</v>
      </c>
      <c r="E79" s="67" t="n">
        <v>0</v>
      </c>
      <c r="F79" s="67" t="n">
        <v>0</v>
      </c>
      <c r="G79" s="67" t="n">
        <v>0</v>
      </c>
      <c r="H79" s="67" t="n">
        <v>0</v>
      </c>
      <c r="I79" s="67" t="n">
        <v>0</v>
      </c>
      <c r="J79" s="67" t="n">
        <v>36000000</v>
      </c>
      <c r="K79" s="67" t="n">
        <v>0</v>
      </c>
      <c r="L79" s="67" t="n">
        <v>0</v>
      </c>
      <c r="M79" s="67" t="n">
        <v>0</v>
      </c>
      <c r="N79" s="67" t="n">
        <v>0</v>
      </c>
    </row>
    <row r="80">
      <c r="A80" s="26" t="inlineStr">
        <is>
          <t>8809114981425</t>
        </is>
      </c>
      <c r="B80" s="13" t="inlineStr">
        <is>
          <t>특판</t>
        </is>
      </c>
      <c r="C80" s="67" t="n">
        <v>0</v>
      </c>
      <c r="D80" s="67" t="n">
        <v>0</v>
      </c>
      <c r="E80" s="67" t="n">
        <v>0</v>
      </c>
      <c r="F80" s="67" t="n">
        <v>0</v>
      </c>
      <c r="G80" s="67" t="n">
        <v>0</v>
      </c>
      <c r="H80" s="67" t="n">
        <v>0</v>
      </c>
      <c r="I80" s="67" t="n">
        <v>0</v>
      </c>
      <c r="J80" s="67" t="n">
        <v>98040000</v>
      </c>
      <c r="K80" s="67" t="n">
        <v>0</v>
      </c>
      <c r="L80" s="67" t="n">
        <v>0</v>
      </c>
      <c r="M80" s="67" t="n">
        <v>0</v>
      </c>
      <c r="N80" s="67" t="n">
        <v>0</v>
      </c>
    </row>
    <row r="81">
      <c r="A81" s="26" t="inlineStr">
        <is>
          <t>8809396447954</t>
        </is>
      </c>
      <c r="B81" s="13" t="inlineStr">
        <is>
          <t>계통대리점</t>
        </is>
      </c>
      <c r="C81" s="67" t="n">
        <v>0</v>
      </c>
      <c r="D81" s="67" t="n">
        <v>0</v>
      </c>
      <c r="E81" s="67" t="n">
        <v>0</v>
      </c>
      <c r="F81" s="67" t="n">
        <v>0</v>
      </c>
      <c r="G81" s="67" t="n">
        <v>0</v>
      </c>
      <c r="H81" s="67" t="n">
        <v>0</v>
      </c>
      <c r="I81" s="67" t="n">
        <v>51711</v>
      </c>
      <c r="J81" s="67" t="n">
        <v>166546</v>
      </c>
      <c r="K81" s="67" t="n">
        <v>1251263</v>
      </c>
      <c r="L81" s="67" t="n">
        <v>582911</v>
      </c>
      <c r="M81" s="67" t="n">
        <v>0</v>
      </c>
      <c r="N81" s="67" t="n">
        <v>0</v>
      </c>
    </row>
    <row r="82">
      <c r="A82" s="26" t="inlineStr">
        <is>
          <t>8809403761288</t>
        </is>
      </c>
      <c r="B82" s="13" t="inlineStr">
        <is>
          <t>계통대리점</t>
        </is>
      </c>
      <c r="C82" s="67" t="n">
        <v>0</v>
      </c>
      <c r="D82" s="67" t="n">
        <v>0</v>
      </c>
      <c r="E82" s="67" t="n">
        <v>0</v>
      </c>
      <c r="F82" s="67" t="n">
        <v>0</v>
      </c>
      <c r="G82" s="67" t="n">
        <v>0</v>
      </c>
      <c r="H82" s="67" t="n">
        <v>0</v>
      </c>
      <c r="I82" s="67" t="n">
        <v>61365</v>
      </c>
      <c r="J82" s="67" t="n">
        <v>134503</v>
      </c>
      <c r="K82" s="67" t="n">
        <v>186549</v>
      </c>
      <c r="L82" s="67" t="n">
        <v>24546</v>
      </c>
      <c r="M82" s="67" t="n">
        <v>0</v>
      </c>
      <c r="N82" s="67" t="n">
        <v>0</v>
      </c>
    </row>
    <row r="83">
      <c r="A83" s="26" t="inlineStr">
        <is>
          <t>G2500217</t>
        </is>
      </c>
      <c r="B83" s="13" t="inlineStr">
        <is>
          <t>특판</t>
        </is>
      </c>
      <c r="C83" s="67" t="n">
        <v>0</v>
      </c>
      <c r="D83" s="67" t="n">
        <v>0</v>
      </c>
      <c r="E83" s="67" t="n">
        <v>0</v>
      </c>
      <c r="F83" s="67" t="n">
        <v>0</v>
      </c>
      <c r="G83" s="67" t="n">
        <v>0</v>
      </c>
      <c r="H83" s="67" t="n">
        <v>0</v>
      </c>
      <c r="I83" s="67" t="n">
        <v>198000000</v>
      </c>
      <c r="J83" s="67" t="n">
        <v>0</v>
      </c>
      <c r="K83" s="67" t="n">
        <v>0</v>
      </c>
      <c r="L83" s="67" t="n">
        <v>0</v>
      </c>
      <c r="M83" s="67" t="n">
        <v>0</v>
      </c>
      <c r="N83" s="67" t="n">
        <v>0</v>
      </c>
    </row>
    <row r="84">
      <c r="A84" s="26" t="inlineStr">
        <is>
          <t>G2500218</t>
        </is>
      </c>
      <c r="B84" s="13" t="inlineStr">
        <is>
          <t>특판</t>
        </is>
      </c>
      <c r="C84" s="67" t="n">
        <v>0</v>
      </c>
      <c r="D84" s="67" t="n">
        <v>0</v>
      </c>
      <c r="E84" s="67" t="n">
        <v>0</v>
      </c>
      <c r="F84" s="67" t="n">
        <v>0</v>
      </c>
      <c r="G84" s="67" t="n">
        <v>0</v>
      </c>
      <c r="H84" s="67" t="n">
        <v>0</v>
      </c>
      <c r="I84" s="67" t="n">
        <v>65000000</v>
      </c>
      <c r="J84" s="67" t="n">
        <v>0</v>
      </c>
      <c r="K84" s="67" t="n">
        <v>0</v>
      </c>
      <c r="L84" s="67" t="n">
        <v>0</v>
      </c>
      <c r="M84" s="67" t="n">
        <v>0</v>
      </c>
      <c r="N84" s="67" t="n">
        <v>0</v>
      </c>
    </row>
    <row r="85">
      <c r="A85" s="26" t="inlineStr">
        <is>
          <t>G2500219</t>
        </is>
      </c>
      <c r="B85" s="13" t="inlineStr">
        <is>
          <t>특판</t>
        </is>
      </c>
      <c r="C85" s="67" t="n">
        <v>0</v>
      </c>
      <c r="D85" s="67" t="n">
        <v>0</v>
      </c>
      <c r="E85" s="67" t="n">
        <v>0</v>
      </c>
      <c r="F85" s="67" t="n">
        <v>0</v>
      </c>
      <c r="G85" s="67" t="n">
        <v>0</v>
      </c>
      <c r="H85" s="67" t="n">
        <v>0</v>
      </c>
      <c r="I85" s="67" t="n">
        <v>676363636</v>
      </c>
      <c r="J85" s="67" t="n">
        <v>0</v>
      </c>
      <c r="K85" s="67" t="n">
        <v>0</v>
      </c>
      <c r="L85" s="67" t="n">
        <v>0</v>
      </c>
      <c r="M85" s="67" t="n">
        <v>0</v>
      </c>
      <c r="N85" s="67" t="n">
        <v>0</v>
      </c>
    </row>
    <row r="86">
      <c r="A86" s="26" t="inlineStr">
        <is>
          <t>G2500220</t>
        </is>
      </c>
      <c r="B86" s="13" t="inlineStr">
        <is>
          <t>특판</t>
        </is>
      </c>
      <c r="C86" s="67" t="n">
        <v>0</v>
      </c>
      <c r="D86" s="67" t="n">
        <v>0</v>
      </c>
      <c r="E86" s="67" t="n">
        <v>0</v>
      </c>
      <c r="F86" s="67" t="n">
        <v>0</v>
      </c>
      <c r="G86" s="67" t="n">
        <v>0</v>
      </c>
      <c r="H86" s="67" t="n">
        <v>0</v>
      </c>
      <c r="I86" s="67" t="n">
        <v>0</v>
      </c>
      <c r="J86" s="67" t="n">
        <v>50909091</v>
      </c>
      <c r="K86" s="67" t="n">
        <v>0</v>
      </c>
      <c r="L86" s="67" t="n">
        <v>0</v>
      </c>
      <c r="M86" s="67" t="n">
        <v>0</v>
      </c>
      <c r="N86" s="67" t="n">
        <v>0</v>
      </c>
    </row>
    <row r="87">
      <c r="A87" s="26" t="inlineStr">
        <is>
          <t>TR282575</t>
        </is>
      </c>
      <c r="B87" s="13" t="inlineStr">
        <is>
          <t>시판대리점</t>
        </is>
      </c>
      <c r="C87" s="67" t="n">
        <v>3303370</v>
      </c>
      <c r="D87" s="67" t="n">
        <v>3616200</v>
      </c>
      <c r="E87" s="67" t="n">
        <v>3375120</v>
      </c>
      <c r="F87" s="67" t="n">
        <v>2698560</v>
      </c>
      <c r="G87" s="67" t="n">
        <v>2548800</v>
      </c>
      <c r="H87" s="67" t="n">
        <v>2230200</v>
      </c>
      <c r="I87" s="67" t="n">
        <v>2357640</v>
      </c>
      <c r="J87" s="67" t="n">
        <v>2123400</v>
      </c>
      <c r="K87" s="67" t="n">
        <v>3266640</v>
      </c>
      <c r="L87" s="67" t="n">
        <v>1911480</v>
      </c>
      <c r="M87" s="67" t="n">
        <v>0</v>
      </c>
      <c r="N87" s="67" t="n">
        <v>0</v>
      </c>
    </row>
    <row r="88">
      <c r="A88" s="26" t="inlineStr">
        <is>
          <t>TR282575</t>
        </is>
      </c>
      <c r="B88" s="13" t="inlineStr">
        <is>
          <t>온라인</t>
        </is>
      </c>
      <c r="C88" s="67" t="n">
        <v>0</v>
      </c>
      <c r="D88" s="67" t="n">
        <v>0</v>
      </c>
      <c r="E88" s="67" t="n">
        <v>0</v>
      </c>
      <c r="F88" s="67" t="n">
        <v>0</v>
      </c>
      <c r="G88" s="67" t="n">
        <v>0</v>
      </c>
      <c r="H88" s="67" t="n">
        <v>185280</v>
      </c>
      <c r="I88" s="67" t="n">
        <v>132624</v>
      </c>
      <c r="J88" s="67" t="n">
        <v>188336</v>
      </c>
      <c r="K88" s="67" t="n">
        <v>2193920</v>
      </c>
      <c r="L88" s="67" t="n">
        <v>0</v>
      </c>
      <c r="M88" s="67" t="n">
        <v>0</v>
      </c>
      <c r="N88" s="67" t="n">
        <v>0</v>
      </c>
    </row>
    <row r="89">
      <c r="A89" s="26" t="inlineStr">
        <is>
          <t>TR282582</t>
        </is>
      </c>
      <c r="B89" s="13" t="inlineStr">
        <is>
          <t>시판대리점</t>
        </is>
      </c>
      <c r="C89" s="67" t="n">
        <v>22107660</v>
      </c>
      <c r="D89" s="67" t="n">
        <v>18867768</v>
      </c>
      <c r="E89" s="67" t="n">
        <v>21242040</v>
      </c>
      <c r="F89" s="67" t="n">
        <v>20692224</v>
      </c>
      <c r="G89" s="67" t="n">
        <v>17531376</v>
      </c>
      <c r="H89" s="67" t="n">
        <v>18449424</v>
      </c>
      <c r="I89" s="67" t="n">
        <v>17739888</v>
      </c>
      <c r="J89" s="67" t="n">
        <v>16455756</v>
      </c>
      <c r="K89" s="67" t="n">
        <v>16202844</v>
      </c>
      <c r="L89" s="67" t="n">
        <v>13081704</v>
      </c>
      <c r="M89" s="67" t="n">
        <v>0</v>
      </c>
      <c r="N89" s="67" t="n">
        <v>0</v>
      </c>
    </row>
    <row r="90">
      <c r="A90" s="26" t="inlineStr">
        <is>
          <t>TR282582</t>
        </is>
      </c>
      <c r="B90" s="13" t="inlineStr">
        <is>
          <t>온라인</t>
        </is>
      </c>
      <c r="C90" s="67" t="n">
        <v>0</v>
      </c>
      <c r="D90" s="67" t="n">
        <v>0</v>
      </c>
      <c r="E90" s="67" t="n">
        <v>0</v>
      </c>
      <c r="F90" s="67" t="n">
        <v>0</v>
      </c>
      <c r="G90" s="67" t="n">
        <v>0</v>
      </c>
      <c r="H90" s="67" t="n">
        <v>185280</v>
      </c>
      <c r="I90" s="67" t="n">
        <v>129624</v>
      </c>
      <c r="J90" s="67" t="n">
        <v>331560</v>
      </c>
      <c r="K90" s="67" t="n">
        <v>1552800</v>
      </c>
      <c r="L90" s="67" t="n">
        <v>0</v>
      </c>
      <c r="M90" s="67" t="n">
        <v>0</v>
      </c>
      <c r="N90" s="67" t="n">
        <v>0</v>
      </c>
    </row>
    <row r="91">
      <c r="A91" s="26" t="inlineStr">
        <is>
          <t>8801448765153</t>
        </is>
      </c>
      <c r="B91" s="13" t="inlineStr">
        <is>
          <t>(미분류)</t>
        </is>
      </c>
      <c r="C91" s="67" t="n">
        <v>0</v>
      </c>
      <c r="D91" s="67" t="n">
        <v>0</v>
      </c>
      <c r="E91" s="67" t="n">
        <v>0</v>
      </c>
      <c r="F91" s="67" t="n">
        <v>0</v>
      </c>
      <c r="G91" s="67" t="n">
        <v>0</v>
      </c>
      <c r="H91" s="67" t="n">
        <v>0</v>
      </c>
      <c r="I91" s="67" t="n">
        <v>0</v>
      </c>
      <c r="J91" s="67" t="n">
        <v>0</v>
      </c>
      <c r="K91" s="67" t="n">
        <v>0</v>
      </c>
      <c r="L91" s="67" t="n">
        <v>63636</v>
      </c>
      <c r="M91" s="67" t="n">
        <v>0</v>
      </c>
      <c r="N91" s="67" t="n">
        <v>0</v>
      </c>
    </row>
    <row r="92">
      <c r="A92" s="40" t="inlineStr">
        <is>
          <t>8809081260295</t>
        </is>
      </c>
      <c r="B92" s="13" t="inlineStr">
        <is>
          <t>계통대리점</t>
        </is>
      </c>
      <c r="C92" s="67" t="n">
        <v>0</v>
      </c>
      <c r="D92" s="67" t="n">
        <v>0</v>
      </c>
      <c r="E92" s="67" t="n">
        <v>0</v>
      </c>
      <c r="F92" s="67" t="n">
        <v>0</v>
      </c>
      <c r="G92" s="67" t="n">
        <v>0</v>
      </c>
      <c r="H92" s="67" t="n">
        <v>0</v>
      </c>
      <c r="I92" s="67" t="n">
        <v>0</v>
      </c>
      <c r="J92" s="67" t="n">
        <v>0</v>
      </c>
      <c r="K92" s="67" t="n">
        <v>0</v>
      </c>
      <c r="L92" s="67" t="n">
        <v>523258</v>
      </c>
      <c r="M92" s="67" t="n">
        <v>0</v>
      </c>
      <c r="N92" s="67" t="n">
        <v>0</v>
      </c>
    </row>
    <row r="93">
      <c r="A93" s="31" t="inlineStr">
        <is>
          <t>출처: 월별 상품별 거래처분류별 매출실적_nhfood_20261019_2026.xlsx (업로드 파일, 2026-10-19). 신상품list 물품코드 해당 행만 추출해 품번×거래처(중)별 합산(거래처 미기재분은 '(미분류)'), 91행, 단위: 원. 10월은 10/19까지 부분실적. 2026-10-19 꾸이맨 코드 업데이트 반영.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C68"/>
  <sheetViews>
    <sheetView workbookViewId="0">
      <pane xSplit="5" ySplit="10" topLeftCell="V14" activePane="bottomRight" state="frozen"/>
      <selection pane="topRight" activeCell="F1" sqref="F1"/>
      <selection pane="bottomLeft" activeCell="A11" sqref="A11"/>
      <selection pane="bottomRight" activeCell="D24" sqref="D24"/>
    </sheetView>
  </sheetViews>
  <sheetFormatPr baseColWidth="8" defaultRowHeight="17.4"/>
  <cols>
    <col width="15" customWidth="1" style="60" min="1" max="3"/>
    <col width="15.796875" customWidth="1" style="60" min="4" max="4"/>
    <col width="38.296875" customWidth="1" style="60" min="5" max="5"/>
    <col width="12" customWidth="1" style="60" min="6" max="7"/>
    <col width="13.69921875" customWidth="1" style="60" min="8" max="17"/>
    <col width="10" customWidth="1" style="60" min="18" max="19"/>
    <col width="14.19921875" customWidth="1" style="60" min="20" max="20"/>
    <col width="10.796875" customWidth="1" style="60" min="21" max="21"/>
    <col width="15" customWidth="1" style="60" min="22" max="25"/>
    <col width="12.5" customWidth="1" style="60" min="26" max="29"/>
  </cols>
  <sheetData>
    <row r="1" ht="21" customHeight="1" s="60">
      <c r="A1" s="32" t="inlineStr">
        <is>
          <t>2026년 신상품 월별 매출액 및 10~12월 예상 (단위: 원)</t>
        </is>
      </c>
    </row>
    <row r="2">
      <c r="A2" s="33" t="inlineStr">
        <is>
          <t>※ 실적은 매출원천(10/19 기준) 집계, 10월 실적은 부분실적. 채널 조건 품목은 해당 거래처(중) 매출만 집계. Z~AC열(파란 글씨)로 품목별 예측 조정: 11~12월 기준 빈칸=최고월, 월평균=1~9월 매출발생월 평균, 10월=10월 예상치. 반영률 빈칸=100%</t>
        </is>
      </c>
    </row>
    <row r="3">
      <c r="A3" s="28" t="inlineStr">
        <is>
          <t>예측 가정</t>
        </is>
      </c>
    </row>
    <row r="4">
      <c r="A4" s="13" t="inlineStr">
        <is>
          <t>10월 예상 배수 (10월 실적 × 배수)</t>
        </is>
      </c>
      <c r="D4" s="68" t="n">
        <v>2</v>
      </c>
    </row>
    <row r="5">
      <c r="A5" s="13" t="inlineStr">
        <is>
          <t>신상품 월 예상매출 (출시월부터)</t>
        </is>
      </c>
      <c r="D5" s="44" t="n">
        <v>10000000</v>
      </c>
    </row>
    <row r="6">
      <c r="A6" s="13" t="inlineStr">
        <is>
          <t>신상품 기준 출시일 (이 날짜 이후 출시)</t>
        </is>
      </c>
      <c r="D6" s="45" t="n">
        <v>46296</v>
      </c>
    </row>
    <row r="7">
      <c r="A7" s="13" t="inlineStr">
        <is>
          <t>스팟 판정: 매출발생 월수 이하</t>
        </is>
      </c>
      <c r="D7" s="69" t="n">
        <v>2</v>
      </c>
    </row>
    <row r="8">
      <c r="A8" s="13" t="inlineStr">
        <is>
          <t>실적 기준월</t>
        </is>
      </c>
      <c r="D8" s="70" t="n">
        <v>46296</v>
      </c>
    </row>
    <row r="9">
      <c r="V9" s="71">
        <f>DATE(YEAR($D$8),MONTH($D$8),1)</f>
        <v/>
      </c>
      <c r="W9" s="71">
        <f>EDATE(V9,1)</f>
        <v/>
      </c>
      <c r="X9" s="71">
        <f>EDATE(W9,1)</f>
        <v/>
      </c>
    </row>
    <row r="10" ht="31.95" customHeight="1" s="60">
      <c r="A10" s="49" t="inlineStr">
        <is>
          <t>구분</t>
        </is>
      </c>
      <c r="B10" s="49" t="inlineStr">
        <is>
          <t>명칭</t>
        </is>
      </c>
      <c r="C10" s="49" t="inlineStr">
        <is>
          <t>상세 명칭</t>
        </is>
      </c>
      <c r="D10" s="49" t="inlineStr">
        <is>
          <t>물품 코드</t>
        </is>
      </c>
      <c r="E10" s="49" t="inlineStr">
        <is>
          <t>물품명</t>
        </is>
      </c>
      <c r="F10" s="49" t="inlineStr">
        <is>
          <t>상품출시일</t>
        </is>
      </c>
      <c r="G10" s="49" t="inlineStr">
        <is>
          <t>채널 조건</t>
        </is>
      </c>
      <c r="H10" s="49" t="inlineStr">
        <is>
          <t>1월 실적</t>
        </is>
      </c>
      <c r="I10" s="49" t="inlineStr">
        <is>
          <t>2월 실적</t>
        </is>
      </c>
      <c r="J10" s="49" t="inlineStr">
        <is>
          <t>3월 실적</t>
        </is>
      </c>
      <c r="K10" s="49" t="inlineStr">
        <is>
          <t>4월 실적</t>
        </is>
      </c>
      <c r="L10" s="49" t="inlineStr">
        <is>
          <t>5월 실적</t>
        </is>
      </c>
      <c r="M10" s="49" t="inlineStr">
        <is>
          <t>6월 실적</t>
        </is>
      </c>
      <c r="N10" s="49" t="inlineStr">
        <is>
          <t>7월 실적</t>
        </is>
      </c>
      <c r="O10" s="49" t="inlineStr">
        <is>
          <t>8월 실적</t>
        </is>
      </c>
      <c r="P10" s="49" t="inlineStr">
        <is>
          <t>9월 실적</t>
        </is>
      </c>
      <c r="Q10" s="49" t="inlineStr">
        <is>
          <t>10월 실적</t>
        </is>
      </c>
      <c r="R10" s="49" t="inlineStr">
        <is>
          <t>매출발생 월수</t>
        </is>
      </c>
      <c r="S10" s="49" t="inlineStr">
        <is>
          <t>출시후 경과월수</t>
        </is>
      </c>
      <c r="T10" s="49" t="inlineStr">
        <is>
          <t>최고월 매출</t>
        </is>
      </c>
      <c r="U10" s="49" t="inlineStr">
        <is>
          <t>예측 유형</t>
        </is>
      </c>
      <c r="V10" s="50" t="inlineStr">
        <is>
          <t>10월 예상</t>
        </is>
      </c>
      <c r="W10" s="50" t="inlineStr">
        <is>
          <t>11월 예상</t>
        </is>
      </c>
      <c r="X10" s="50" t="inlineStr">
        <is>
          <t>12월 예상</t>
        </is>
      </c>
      <c r="Y10" s="50" t="inlineStr">
        <is>
          <t>연간 예상</t>
        </is>
      </c>
      <c r="Z10" s="55" t="inlineStr">
        <is>
          <t>유형 지정</t>
        </is>
      </c>
      <c r="AA10" s="55" t="inlineStr">
        <is>
          <t>11~12월 기준</t>
        </is>
      </c>
      <c r="AB10" s="55" t="inlineStr">
        <is>
          <t>10월 반영률</t>
        </is>
      </c>
      <c r="AC10" s="55" t="inlineStr">
        <is>
          <t>11월 반영률</t>
        </is>
      </c>
    </row>
    <row r="11">
      <c r="A11" s="34">
        <f>신상품list!B3</f>
        <v/>
      </c>
      <c r="B11" s="34">
        <f>신상품list!C3</f>
        <v/>
      </c>
      <c r="C11" s="34">
        <f>신상품list!D3</f>
        <v/>
      </c>
      <c r="D11" s="34">
        <f>신상품list!E3&amp;""</f>
        <v/>
      </c>
      <c r="E11" s="34">
        <f>신상품list!F3</f>
        <v/>
      </c>
      <c r="F11" s="35">
        <f>신상품list!H3</f>
        <v/>
      </c>
      <c r="G11" s="51">
        <f>IF(신상품list!I3="","전체",신상품list!I3)</f>
        <v/>
      </c>
      <c r="H11" s="72">
        <f>SUMIFS(매출원천!C:C,매출원천!$A:$A,$D11,매출원천!$B:$B,IF($G11="전체","*",$G11))</f>
        <v/>
      </c>
      <c r="I11" s="72">
        <f>SUMIFS(매출원천!D:D,매출원천!$A:$A,$D11,매출원천!$B:$B,IF($G11="전체","*",$G11))</f>
        <v/>
      </c>
      <c r="J11" s="72">
        <f>SUMIFS(매출원천!E:E,매출원천!$A:$A,$D11,매출원천!$B:$B,IF($G11="전체","*",$G11))</f>
        <v/>
      </c>
      <c r="K11" s="72">
        <f>SUMIFS(매출원천!F:F,매출원천!$A:$A,$D11,매출원천!$B:$B,IF($G11="전체","*",$G11))</f>
        <v/>
      </c>
      <c r="L11" s="72">
        <f>SUMIFS(매출원천!G:G,매출원천!$A:$A,$D11,매출원천!$B:$B,IF($G11="전체","*",$G11))</f>
        <v/>
      </c>
      <c r="M11" s="72">
        <f>SUMIFS(매출원천!H:H,매출원천!$A:$A,$D11,매출원천!$B:$B,IF($G11="전체","*",$G11))</f>
        <v/>
      </c>
      <c r="N11" s="72">
        <f>SUMIFS(매출원천!I:I,매출원천!$A:$A,$D11,매출원천!$B:$B,IF($G11="전체","*",$G11))</f>
        <v/>
      </c>
      <c r="O11" s="72">
        <f>SUMIFS(매출원천!J:J,매출원천!$A:$A,$D11,매출원천!$B:$B,IF($G11="전체","*",$G11))</f>
        <v/>
      </c>
      <c r="P11" s="72">
        <f>SUMIFS(매출원천!K:K,매출원천!$A:$A,$D11,매출원천!$B:$B,IF($G11="전체","*",$G11))</f>
        <v/>
      </c>
      <c r="Q11" s="72">
        <f>SUMIFS(매출원천!L:L,매출원천!$A:$A,$D11,매출원천!$B:$B,IF($G11="전체","*",$G11))</f>
        <v/>
      </c>
      <c r="R11" s="52">
        <f>COUNTIF(H11:Q11,"&gt;0")</f>
        <v/>
      </c>
      <c r="S11" s="52">
        <f>IF($F11="",0,(YEAR($D$8)-YEAR($F11))*12+MONTH($D$8)-MONTH($F11)+1)</f>
        <v/>
      </c>
      <c r="T11" s="73">
        <f>MAX(H11:Q11)</f>
        <v/>
      </c>
      <c r="U11" s="73">
        <f>IF($Z11&lt;&gt;"",$Z11,IF($F11&gt;=$D$6,"신상품",IF(AND($R11&lt;=$D$7,$S11&gt;$D$7),"스팟","기존")))</f>
        <v/>
      </c>
      <c r="V11" s="74">
        <f>IF($U11="신상품",IF($F11&lt;=EOMONTH(V$9,0),$D$5,0),IF($U11="스팟",$Q11,$Q11*$D$4))*IF($AB11="",1,$AB11)</f>
        <v/>
      </c>
      <c r="W11" s="74">
        <f>IF($U11="신상품",IF($F11&lt;=EOMONTH(W$9,0),$D$5,0),IF($U11="스팟",0,IF($AA11="월평균",AVERAGEIF($H11:$P11,"&gt;0"),IF($AA11="9월",$P11,IF($AA11="10월",$V11,$T11)))))*IF($AC11="",1,$AC11)</f>
        <v/>
      </c>
      <c r="X11" s="74">
        <f>IF($U11="신상품",IF($F11&lt;=EOMONTH(X$9,0),$D$5,0),IF($U11="스팟",0,IF($AA11="월평균",AVERAGEIF($H11:$P11,"&gt;0"),IF($AA11="9월",$P11,IF($AA11="10월",$V11,$T11)))))</f>
        <v/>
      </c>
      <c r="Y11" s="75">
        <f>SUM(H11:P11)+SUM(V11:X11)</f>
        <v/>
      </c>
      <c r="Z11" s="56" t="n"/>
      <c r="AA11" s="56" t="n"/>
      <c r="AB11" s="57" t="n"/>
      <c r="AC11" s="57" t="n"/>
    </row>
    <row r="12">
      <c r="A12" s="34">
        <f>신상품list!B4</f>
        <v/>
      </c>
      <c r="B12" s="34">
        <f>신상품list!C4</f>
        <v/>
      </c>
      <c r="C12" s="34">
        <f>신상품list!D4</f>
        <v/>
      </c>
      <c r="D12" s="34">
        <f>신상품list!E4&amp;""</f>
        <v/>
      </c>
      <c r="E12" s="34">
        <f>신상품list!F4</f>
        <v/>
      </c>
      <c r="F12" s="35">
        <f>신상품list!H4</f>
        <v/>
      </c>
      <c r="G12" s="51">
        <f>IF(신상품list!I4="","전체",신상품list!I4)</f>
        <v/>
      </c>
      <c r="H12" s="72">
        <f>SUMIFS(매출원천!C:C,매출원천!$A:$A,$D12,매출원천!$B:$B,IF($G12="전체","*",$G12))</f>
        <v/>
      </c>
      <c r="I12" s="72">
        <f>SUMIFS(매출원천!D:D,매출원천!$A:$A,$D12,매출원천!$B:$B,IF($G12="전체","*",$G12))</f>
        <v/>
      </c>
      <c r="J12" s="72">
        <f>SUMIFS(매출원천!E:E,매출원천!$A:$A,$D12,매출원천!$B:$B,IF($G12="전체","*",$G12))</f>
        <v/>
      </c>
      <c r="K12" s="72">
        <f>SUMIFS(매출원천!F:F,매출원천!$A:$A,$D12,매출원천!$B:$B,IF($G12="전체","*",$G12))</f>
        <v/>
      </c>
      <c r="L12" s="72">
        <f>SUMIFS(매출원천!G:G,매출원천!$A:$A,$D12,매출원천!$B:$B,IF($G12="전체","*",$G12))</f>
        <v/>
      </c>
      <c r="M12" s="72">
        <f>SUMIFS(매출원천!H:H,매출원천!$A:$A,$D12,매출원천!$B:$B,IF($G12="전체","*",$G12))</f>
        <v/>
      </c>
      <c r="N12" s="72">
        <f>SUMIFS(매출원천!I:I,매출원천!$A:$A,$D12,매출원천!$B:$B,IF($G12="전체","*",$G12))</f>
        <v/>
      </c>
      <c r="O12" s="72">
        <f>SUMIFS(매출원천!J:J,매출원천!$A:$A,$D12,매출원천!$B:$B,IF($G12="전체","*",$G12))</f>
        <v/>
      </c>
      <c r="P12" s="72">
        <f>SUMIFS(매출원천!K:K,매출원천!$A:$A,$D12,매출원천!$B:$B,IF($G12="전체","*",$G12))</f>
        <v/>
      </c>
      <c r="Q12" s="72">
        <f>SUMIFS(매출원천!L:L,매출원천!$A:$A,$D12,매출원천!$B:$B,IF($G12="전체","*",$G12))</f>
        <v/>
      </c>
      <c r="R12" s="52">
        <f>COUNTIF(H12:Q12,"&gt;0")</f>
        <v/>
      </c>
      <c r="S12" s="52">
        <f>IF($F12="",0,(YEAR($D$8)-YEAR($F12))*12+MONTH($D$8)-MONTH($F12)+1)</f>
        <v/>
      </c>
      <c r="T12" s="73">
        <f>MAX(H12:Q12)</f>
        <v/>
      </c>
      <c r="U12" s="73">
        <f>IF($Z12&lt;&gt;"",$Z12,IF($F12&gt;=$D$6,"신상품",IF(AND($R12&lt;=$D$7,$S12&gt;$D$7),"스팟","기존")))</f>
        <v/>
      </c>
      <c r="V12" s="74">
        <f>IF($U12="신상품",IF($F12&lt;=EOMONTH(V$9,0),$D$5,0),IF($U12="스팟",$Q12,$Q12*$D$4))*IF($AB12="",1,$AB12)</f>
        <v/>
      </c>
      <c r="W12" s="74">
        <f>IF($U12="신상품",IF($F12&lt;=EOMONTH(W$9,0),$D$5,0),IF($U12="스팟",0,IF($AA12="월평균",AVERAGEIF($H12:$P12,"&gt;0"),IF($AA12="9월",$P12,IF($AA12="10월",$V12,$T12)))))*IF($AC12="",1,$AC12)</f>
        <v/>
      </c>
      <c r="X12" s="74">
        <f>IF($U12="신상품",IF($F12&lt;=EOMONTH(X$9,0),$D$5,0),IF($U12="스팟",0,IF($AA12="월평균",AVERAGEIF($H12:$P12,"&gt;0"),IF($AA12="9월",$P12,IF($AA12="10월",$V12,$T12)))))</f>
        <v/>
      </c>
      <c r="Y12" s="75">
        <f>SUM(H12:P12)+SUM(V12:X12)</f>
        <v/>
      </c>
      <c r="Z12" s="56" t="n"/>
      <c r="AA12" s="56" t="n"/>
      <c r="AB12" s="57" t="n"/>
      <c r="AC12" s="57" t="n"/>
    </row>
    <row r="13">
      <c r="A13" s="34">
        <f>신상품list!B5</f>
        <v/>
      </c>
      <c r="B13" s="34">
        <f>신상품list!C5</f>
        <v/>
      </c>
      <c r="C13" s="34">
        <f>신상품list!D5</f>
        <v/>
      </c>
      <c r="D13" s="34">
        <f>신상품list!E5&amp;""</f>
        <v/>
      </c>
      <c r="E13" s="34">
        <f>신상품list!F5</f>
        <v/>
      </c>
      <c r="F13" s="35">
        <f>신상품list!H5</f>
        <v/>
      </c>
      <c r="G13" s="51">
        <f>IF(신상품list!I5="","전체",신상품list!I5)</f>
        <v/>
      </c>
      <c r="H13" s="72">
        <f>SUMIFS(매출원천!C:C,매출원천!$A:$A,$D13,매출원천!$B:$B,IF($G13="전체","*",$G13))</f>
        <v/>
      </c>
      <c r="I13" s="72">
        <f>SUMIFS(매출원천!D:D,매출원천!$A:$A,$D13,매출원천!$B:$B,IF($G13="전체","*",$G13))</f>
        <v/>
      </c>
      <c r="J13" s="72">
        <f>SUMIFS(매출원천!E:E,매출원천!$A:$A,$D13,매출원천!$B:$B,IF($G13="전체","*",$G13))</f>
        <v/>
      </c>
      <c r="K13" s="72">
        <f>SUMIFS(매출원천!F:F,매출원천!$A:$A,$D13,매출원천!$B:$B,IF($G13="전체","*",$G13))</f>
        <v/>
      </c>
      <c r="L13" s="72">
        <f>SUMIFS(매출원천!G:G,매출원천!$A:$A,$D13,매출원천!$B:$B,IF($G13="전체","*",$G13))</f>
        <v/>
      </c>
      <c r="M13" s="72">
        <f>SUMIFS(매출원천!H:H,매출원천!$A:$A,$D13,매출원천!$B:$B,IF($G13="전체","*",$G13))</f>
        <v/>
      </c>
      <c r="N13" s="72">
        <f>SUMIFS(매출원천!I:I,매출원천!$A:$A,$D13,매출원천!$B:$B,IF($G13="전체","*",$G13))</f>
        <v/>
      </c>
      <c r="O13" s="72">
        <f>SUMIFS(매출원천!J:J,매출원천!$A:$A,$D13,매출원천!$B:$B,IF($G13="전체","*",$G13))</f>
        <v/>
      </c>
      <c r="P13" s="72">
        <f>SUMIFS(매출원천!K:K,매출원천!$A:$A,$D13,매출원천!$B:$B,IF($G13="전체","*",$G13))</f>
        <v/>
      </c>
      <c r="Q13" s="72">
        <f>SUMIFS(매출원천!L:L,매출원천!$A:$A,$D13,매출원천!$B:$B,IF($G13="전체","*",$G13))</f>
        <v/>
      </c>
      <c r="R13" s="52">
        <f>COUNTIF(H13:Q13,"&gt;0")</f>
        <v/>
      </c>
      <c r="S13" s="52">
        <f>IF($F13="",0,(YEAR($D$8)-YEAR($F13))*12+MONTH($D$8)-MONTH($F13)+1)</f>
        <v/>
      </c>
      <c r="T13" s="73">
        <f>MAX(H13:Q13)</f>
        <v/>
      </c>
      <c r="U13" s="73">
        <f>IF($Z13&lt;&gt;"",$Z13,IF($F13&gt;=$D$6,"신상품",IF(AND($R13&lt;=$D$7,$S13&gt;$D$7),"스팟","기존")))</f>
        <v/>
      </c>
      <c r="V13" s="74">
        <f>IF($U13="신상품",IF($F13&lt;=EOMONTH(V$9,0),$D$5,0),IF($U13="스팟",$Q13,$Q13*$D$4))*IF($AB13="",1,$AB13)</f>
        <v/>
      </c>
      <c r="W13" s="74">
        <f>IF($U13="신상품",IF($F13&lt;=EOMONTH(W$9,0),$D$5,0),IF($U13="스팟",0,IF($AA13="월평균",AVERAGEIF($H13:$P13,"&gt;0"),IF($AA13="9월",$P13,IF($AA13="10월",$V13,$T13)))))*IF($AC13="",1,$AC13)</f>
        <v/>
      </c>
      <c r="X13" s="74">
        <f>IF($U13="신상품",IF($F13&lt;=EOMONTH(X$9,0),$D$5,0),IF($U13="스팟",0,IF($AA13="월평균",AVERAGEIF($H13:$P13,"&gt;0"),IF($AA13="9월",$P13,IF($AA13="10월",$V13,$T13)))))</f>
        <v/>
      </c>
      <c r="Y13" s="75">
        <f>SUM(H13:P13)+SUM(V13:X13)</f>
        <v/>
      </c>
      <c r="Z13" s="56" t="n"/>
      <c r="AA13" s="56" t="n"/>
      <c r="AB13" s="57" t="n"/>
      <c r="AC13" s="57" t="n"/>
    </row>
    <row r="14">
      <c r="A14" s="34">
        <f>신상품list!B6</f>
        <v/>
      </c>
      <c r="B14" s="34">
        <f>신상품list!C6</f>
        <v/>
      </c>
      <c r="C14" s="34">
        <f>신상품list!D6</f>
        <v/>
      </c>
      <c r="D14" s="34">
        <f>신상품list!E6&amp;""</f>
        <v/>
      </c>
      <c r="E14" s="34">
        <f>신상품list!F6</f>
        <v/>
      </c>
      <c r="F14" s="35">
        <f>신상품list!H6</f>
        <v/>
      </c>
      <c r="G14" s="51">
        <f>IF(신상품list!I6="","전체",신상품list!I6)</f>
        <v/>
      </c>
      <c r="H14" s="72">
        <f>SUMIFS(매출원천!C:C,매출원천!$A:$A,$D14,매출원천!$B:$B,IF($G14="전체","*",$G14))</f>
        <v/>
      </c>
      <c r="I14" s="72">
        <f>SUMIFS(매출원천!D:D,매출원천!$A:$A,$D14,매출원천!$B:$B,IF($G14="전체","*",$G14))</f>
        <v/>
      </c>
      <c r="J14" s="72">
        <f>SUMIFS(매출원천!E:E,매출원천!$A:$A,$D14,매출원천!$B:$B,IF($G14="전체","*",$G14))</f>
        <v/>
      </c>
      <c r="K14" s="72">
        <f>SUMIFS(매출원천!F:F,매출원천!$A:$A,$D14,매출원천!$B:$B,IF($G14="전체","*",$G14))</f>
        <v/>
      </c>
      <c r="L14" s="72">
        <f>SUMIFS(매출원천!G:G,매출원천!$A:$A,$D14,매출원천!$B:$B,IF($G14="전체","*",$G14))</f>
        <v/>
      </c>
      <c r="M14" s="72">
        <f>SUMIFS(매출원천!H:H,매출원천!$A:$A,$D14,매출원천!$B:$B,IF($G14="전체","*",$G14))</f>
        <v/>
      </c>
      <c r="N14" s="72">
        <f>SUMIFS(매출원천!I:I,매출원천!$A:$A,$D14,매출원천!$B:$B,IF($G14="전체","*",$G14))</f>
        <v/>
      </c>
      <c r="O14" s="72">
        <f>SUMIFS(매출원천!J:J,매출원천!$A:$A,$D14,매출원천!$B:$B,IF($G14="전체","*",$G14))</f>
        <v/>
      </c>
      <c r="P14" s="72">
        <f>SUMIFS(매출원천!K:K,매출원천!$A:$A,$D14,매출원천!$B:$B,IF($G14="전체","*",$G14))</f>
        <v/>
      </c>
      <c r="Q14" s="72">
        <f>SUMIFS(매출원천!L:L,매출원천!$A:$A,$D14,매출원천!$B:$B,IF($G14="전체","*",$G14))</f>
        <v/>
      </c>
      <c r="R14" s="52">
        <f>COUNTIF(H14:Q14,"&gt;0")</f>
        <v/>
      </c>
      <c r="S14" s="52">
        <f>IF($F14="",0,(YEAR($D$8)-YEAR($F14))*12+MONTH($D$8)-MONTH($F14)+1)</f>
        <v/>
      </c>
      <c r="T14" s="73">
        <f>MAX(H14:Q14)</f>
        <v/>
      </c>
      <c r="U14" s="73">
        <f>IF($Z14&lt;&gt;"",$Z14,IF($F14&gt;=$D$6,"신상품",IF(AND($R14&lt;=$D$7,$S14&gt;$D$7),"스팟","기존")))</f>
        <v/>
      </c>
      <c r="V14" s="74">
        <f>IF($U14="신상품",IF($F14&lt;=EOMONTH(V$9,0),$D$5,0),IF($U14="스팟",$Q14,$Q14*$D$4))*IF($AB14="",1,$AB14)</f>
        <v/>
      </c>
      <c r="W14" s="74">
        <f>IF($U14="신상품",IF($F14&lt;=EOMONTH(W$9,0),$D$5,0),IF($U14="스팟",0,IF($AA14="월평균",AVERAGEIF($H14:$P14,"&gt;0"),IF($AA14="9월",$P14,IF($AA14="10월",$V14,$T14)))))*IF($AC14="",1,$AC14)</f>
        <v/>
      </c>
      <c r="X14" s="74">
        <f>IF($U14="신상품",IF($F14&lt;=EOMONTH(X$9,0),$D$5,0),IF($U14="스팟",0,IF($AA14="월평균",AVERAGEIF($H14:$P14,"&gt;0"),IF($AA14="9월",$P14,IF($AA14="10월",$V14,$T14)))))</f>
        <v/>
      </c>
      <c r="Y14" s="75">
        <f>SUM(H14:P14)+SUM(V14:X14)</f>
        <v/>
      </c>
      <c r="Z14" s="56" t="n"/>
      <c r="AA14" s="56" t="n"/>
      <c r="AB14" s="57" t="n"/>
      <c r="AC14" s="57" t="n"/>
    </row>
    <row r="15">
      <c r="A15" s="34">
        <f>신상품list!B7</f>
        <v/>
      </c>
      <c r="B15" s="34">
        <f>신상품list!C7</f>
        <v/>
      </c>
      <c r="C15" s="34">
        <f>신상품list!D7</f>
        <v/>
      </c>
      <c r="D15" s="34">
        <f>신상품list!E7&amp;""</f>
        <v/>
      </c>
      <c r="E15" s="34">
        <f>신상품list!F7</f>
        <v/>
      </c>
      <c r="F15" s="35">
        <f>신상품list!H7</f>
        <v/>
      </c>
      <c r="G15" s="51">
        <f>IF(신상품list!I7="","전체",신상품list!I7)</f>
        <v/>
      </c>
      <c r="H15" s="72">
        <f>SUMIFS(매출원천!C:C,매출원천!$A:$A,$D15,매출원천!$B:$B,IF($G15="전체","*",$G15))</f>
        <v/>
      </c>
      <c r="I15" s="72">
        <f>SUMIFS(매출원천!D:D,매출원천!$A:$A,$D15,매출원천!$B:$B,IF($G15="전체","*",$G15))</f>
        <v/>
      </c>
      <c r="J15" s="72">
        <f>SUMIFS(매출원천!E:E,매출원천!$A:$A,$D15,매출원천!$B:$B,IF($G15="전체","*",$G15))</f>
        <v/>
      </c>
      <c r="K15" s="72">
        <f>SUMIFS(매출원천!F:F,매출원천!$A:$A,$D15,매출원천!$B:$B,IF($G15="전체","*",$G15))</f>
        <v/>
      </c>
      <c r="L15" s="72">
        <f>SUMIFS(매출원천!G:G,매출원천!$A:$A,$D15,매출원천!$B:$B,IF($G15="전체","*",$G15))</f>
        <v/>
      </c>
      <c r="M15" s="72">
        <f>SUMIFS(매출원천!H:H,매출원천!$A:$A,$D15,매출원천!$B:$B,IF($G15="전체","*",$G15))</f>
        <v/>
      </c>
      <c r="N15" s="72">
        <f>SUMIFS(매출원천!I:I,매출원천!$A:$A,$D15,매출원천!$B:$B,IF($G15="전체","*",$G15))</f>
        <v/>
      </c>
      <c r="O15" s="72">
        <f>SUMIFS(매출원천!J:J,매출원천!$A:$A,$D15,매출원천!$B:$B,IF($G15="전체","*",$G15))</f>
        <v/>
      </c>
      <c r="P15" s="72">
        <f>SUMIFS(매출원천!K:K,매출원천!$A:$A,$D15,매출원천!$B:$B,IF($G15="전체","*",$G15))</f>
        <v/>
      </c>
      <c r="Q15" s="72">
        <f>SUMIFS(매출원천!L:L,매출원천!$A:$A,$D15,매출원천!$B:$B,IF($G15="전체","*",$G15))</f>
        <v/>
      </c>
      <c r="R15" s="52">
        <f>COUNTIF(H15:Q15,"&gt;0")</f>
        <v/>
      </c>
      <c r="S15" s="52">
        <f>IF($F15="",0,(YEAR($D$8)-YEAR($F15))*12+MONTH($D$8)-MONTH($F15)+1)</f>
        <v/>
      </c>
      <c r="T15" s="73">
        <f>MAX(H15:Q15)</f>
        <v/>
      </c>
      <c r="U15" s="73">
        <f>IF($Z15&lt;&gt;"",$Z15,IF($F15&gt;=$D$6,"신상품",IF(AND($R15&lt;=$D$7,$S15&gt;$D$7),"스팟","기존")))</f>
        <v/>
      </c>
      <c r="V15" s="74">
        <f>IF($U15="신상품",IF($F15&lt;=EOMONTH(V$9,0),$D$5,0),IF($U15="스팟",$Q15,$Q15*$D$4))*IF($AB15="",1,$AB15)</f>
        <v/>
      </c>
      <c r="W15" s="74">
        <f>IF($U15="신상품",IF($F15&lt;=EOMONTH(W$9,0),$D$5,0),IF($U15="스팟",0,IF($AA15="월평균",AVERAGEIF($H15:$P15,"&gt;0"),IF($AA15="9월",$P15,IF($AA15="10월",$V15,$T15)))))*IF($AC15="",1,$AC15)</f>
        <v/>
      </c>
      <c r="X15" s="74">
        <f>IF($U15="신상품",IF($F15&lt;=EOMONTH(X$9,0),$D$5,0),IF($U15="스팟",0,IF($AA15="월평균",AVERAGEIF($H15:$P15,"&gt;0"),IF($AA15="9월",$P15,IF($AA15="10월",$V15,$T15)))))</f>
        <v/>
      </c>
      <c r="Y15" s="75">
        <f>SUM(H15:P15)+SUM(V15:X15)</f>
        <v/>
      </c>
      <c r="Z15" s="56" t="inlineStr">
        <is>
          <t>스팟</t>
        </is>
      </c>
      <c r="AA15" s="56" t="n"/>
      <c r="AB15" s="57" t="n"/>
      <c r="AC15" s="57" t="n"/>
    </row>
    <row r="16">
      <c r="A16" s="34">
        <f>신상품list!B8</f>
        <v/>
      </c>
      <c r="B16" s="34">
        <f>신상품list!C8</f>
        <v/>
      </c>
      <c r="C16" s="34">
        <f>신상품list!D8</f>
        <v/>
      </c>
      <c r="D16" s="34">
        <f>신상품list!E8&amp;""</f>
        <v/>
      </c>
      <c r="E16" s="34">
        <f>신상품list!F8</f>
        <v/>
      </c>
      <c r="F16" s="35">
        <f>신상품list!H8</f>
        <v/>
      </c>
      <c r="G16" s="51">
        <f>IF(신상품list!I8="","전체",신상품list!I8)</f>
        <v/>
      </c>
      <c r="H16" s="72">
        <f>SUMIFS(매출원천!C:C,매출원천!$A:$A,$D16,매출원천!$B:$B,IF($G16="전체","*",$G16))</f>
        <v/>
      </c>
      <c r="I16" s="72">
        <f>SUMIFS(매출원천!D:D,매출원천!$A:$A,$D16,매출원천!$B:$B,IF($G16="전체","*",$G16))</f>
        <v/>
      </c>
      <c r="J16" s="72">
        <f>SUMIFS(매출원천!E:E,매출원천!$A:$A,$D16,매출원천!$B:$B,IF($G16="전체","*",$G16))</f>
        <v/>
      </c>
      <c r="K16" s="72">
        <f>SUMIFS(매출원천!F:F,매출원천!$A:$A,$D16,매출원천!$B:$B,IF($G16="전체","*",$G16))</f>
        <v/>
      </c>
      <c r="L16" s="72">
        <f>SUMIFS(매출원천!G:G,매출원천!$A:$A,$D16,매출원천!$B:$B,IF($G16="전체","*",$G16))</f>
        <v/>
      </c>
      <c r="M16" s="72">
        <f>SUMIFS(매출원천!H:H,매출원천!$A:$A,$D16,매출원천!$B:$B,IF($G16="전체","*",$G16))</f>
        <v/>
      </c>
      <c r="N16" s="72">
        <f>SUMIFS(매출원천!I:I,매출원천!$A:$A,$D16,매출원천!$B:$B,IF($G16="전체","*",$G16))</f>
        <v/>
      </c>
      <c r="O16" s="72">
        <f>SUMIFS(매출원천!J:J,매출원천!$A:$A,$D16,매출원천!$B:$B,IF($G16="전체","*",$G16))</f>
        <v/>
      </c>
      <c r="P16" s="72">
        <f>SUMIFS(매출원천!K:K,매출원천!$A:$A,$D16,매출원천!$B:$B,IF($G16="전체","*",$G16))</f>
        <v/>
      </c>
      <c r="Q16" s="72">
        <f>SUMIFS(매출원천!L:L,매출원천!$A:$A,$D16,매출원천!$B:$B,IF($G16="전체","*",$G16))</f>
        <v/>
      </c>
      <c r="R16" s="52">
        <f>COUNTIF(H16:Q16,"&gt;0")</f>
        <v/>
      </c>
      <c r="S16" s="52">
        <f>IF($F16="",0,(YEAR($D$8)-YEAR($F16))*12+MONTH($D$8)-MONTH($F16)+1)</f>
        <v/>
      </c>
      <c r="T16" s="73">
        <f>MAX(H16:Q16)</f>
        <v/>
      </c>
      <c r="U16" s="73">
        <f>IF($Z16&lt;&gt;"",$Z16,IF($F16&gt;=$D$6,"신상품",IF(AND($R16&lt;=$D$7,$S16&gt;$D$7),"스팟","기존")))</f>
        <v/>
      </c>
      <c r="V16" s="74">
        <f>IF($U16="신상품",IF($F16&lt;=EOMONTH(V$9,0),$D$5,0),IF($U16="스팟",$Q16,$Q16*$D$4))*IF($AB16="",1,$AB16)</f>
        <v/>
      </c>
      <c r="W16" s="74">
        <f>IF($U16="신상품",IF($F16&lt;=EOMONTH(W$9,0),$D$5,0),IF($U16="스팟",0,IF($AA16="월평균",AVERAGEIF($H16:$P16,"&gt;0"),IF($AA16="9월",$P16,IF($AA16="10월",$V16,$T16)))))*IF($AC16="",1,$AC16)</f>
        <v/>
      </c>
      <c r="X16" s="74">
        <f>IF($U16="신상품",IF($F16&lt;=EOMONTH(X$9,0),$D$5,0),IF($U16="스팟",0,IF($AA16="월평균",AVERAGEIF($H16:$P16,"&gt;0"),IF($AA16="9월",$P16,IF($AA16="10월",$V16,$T16)))))</f>
        <v/>
      </c>
      <c r="Y16" s="75">
        <f>SUM(H16:P16)+SUM(V16:X16)</f>
        <v/>
      </c>
      <c r="Z16" s="56" t="n"/>
      <c r="AA16" s="56" t="inlineStr">
        <is>
          <t>월평균</t>
        </is>
      </c>
      <c r="AB16" s="57" t="n"/>
      <c r="AC16" s="57" t="n"/>
    </row>
    <row r="17">
      <c r="A17" s="34">
        <f>신상품list!B9</f>
        <v/>
      </c>
      <c r="B17" s="34">
        <f>신상품list!C9</f>
        <v/>
      </c>
      <c r="C17" s="34">
        <f>신상품list!D9</f>
        <v/>
      </c>
      <c r="D17" s="34">
        <f>신상품list!E9&amp;""</f>
        <v/>
      </c>
      <c r="E17" s="34">
        <f>신상품list!F9</f>
        <v/>
      </c>
      <c r="F17" s="35">
        <f>신상품list!H9</f>
        <v/>
      </c>
      <c r="G17" s="51">
        <f>IF(신상품list!I9="","전체",신상품list!I9)</f>
        <v/>
      </c>
      <c r="H17" s="72">
        <f>SUMIFS(매출원천!C:C,매출원천!$A:$A,$D17,매출원천!$B:$B,IF($G17="전체","*",$G17))</f>
        <v/>
      </c>
      <c r="I17" s="72">
        <f>SUMIFS(매출원천!D:D,매출원천!$A:$A,$D17,매출원천!$B:$B,IF($G17="전체","*",$G17))</f>
        <v/>
      </c>
      <c r="J17" s="72">
        <f>SUMIFS(매출원천!E:E,매출원천!$A:$A,$D17,매출원천!$B:$B,IF($G17="전체","*",$G17))</f>
        <v/>
      </c>
      <c r="K17" s="72">
        <f>SUMIFS(매출원천!F:F,매출원천!$A:$A,$D17,매출원천!$B:$B,IF($G17="전체","*",$G17))</f>
        <v/>
      </c>
      <c r="L17" s="72">
        <f>SUMIFS(매출원천!G:G,매출원천!$A:$A,$D17,매출원천!$B:$B,IF($G17="전체","*",$G17))</f>
        <v/>
      </c>
      <c r="M17" s="72">
        <f>SUMIFS(매출원천!H:H,매출원천!$A:$A,$D17,매출원천!$B:$B,IF($G17="전체","*",$G17))</f>
        <v/>
      </c>
      <c r="N17" s="72">
        <f>SUMIFS(매출원천!I:I,매출원천!$A:$A,$D17,매출원천!$B:$B,IF($G17="전체","*",$G17))</f>
        <v/>
      </c>
      <c r="O17" s="72">
        <f>SUMIFS(매출원천!J:J,매출원천!$A:$A,$D17,매출원천!$B:$B,IF($G17="전체","*",$G17))</f>
        <v/>
      </c>
      <c r="P17" s="72">
        <f>SUMIFS(매출원천!K:K,매출원천!$A:$A,$D17,매출원천!$B:$B,IF($G17="전체","*",$G17))</f>
        <v/>
      </c>
      <c r="Q17" s="72">
        <f>SUMIFS(매출원천!L:L,매출원천!$A:$A,$D17,매출원천!$B:$B,IF($G17="전체","*",$G17))</f>
        <v/>
      </c>
      <c r="R17" s="52">
        <f>COUNTIF(H17:Q17,"&gt;0")</f>
        <v/>
      </c>
      <c r="S17" s="52">
        <f>IF($F17="",0,(YEAR($D$8)-YEAR($F17))*12+MONTH($D$8)-MONTH($F17)+1)</f>
        <v/>
      </c>
      <c r="T17" s="73">
        <f>MAX(H17:Q17)</f>
        <v/>
      </c>
      <c r="U17" s="73">
        <f>IF($Z17&lt;&gt;"",$Z17,IF($F17&gt;=$D$6,"신상품",IF(AND($R17&lt;=$D$7,$S17&gt;$D$7),"스팟","기존")))</f>
        <v/>
      </c>
      <c r="V17" s="74">
        <f>IF($U17="신상품",IF($F17&lt;=EOMONTH(V$9,0),$D$5,0),IF($U17="스팟",$Q17,$Q17*$D$4))*IF($AB17="",1,$AB17)</f>
        <v/>
      </c>
      <c r="W17" s="74">
        <f>IF($U17="신상품",IF($F17&lt;=EOMONTH(W$9,0),$D$5,0),IF($U17="스팟",0,IF($AA17="월평균",AVERAGEIF($H17:$P17,"&gt;0"),IF($AA17="9월",$P17,IF($AA17="10월",$V17,$T17)))))*IF($AC17="",1,$AC17)</f>
        <v/>
      </c>
      <c r="X17" s="74">
        <f>IF($U17="신상품",IF($F17&lt;=EOMONTH(X$9,0),$D$5,0),IF($U17="스팟",0,IF($AA17="월평균",AVERAGEIF($H17:$P17,"&gt;0"),IF($AA17="9월",$P17,IF($AA17="10월",$V17,$T17)))))</f>
        <v/>
      </c>
      <c r="Y17" s="75">
        <f>SUM(H17:P17)+SUM(V17:X17)</f>
        <v/>
      </c>
      <c r="Z17" s="56" t="n"/>
      <c r="AA17" s="56" t="inlineStr">
        <is>
          <t>월평균</t>
        </is>
      </c>
      <c r="AB17" s="57" t="n"/>
      <c r="AC17" s="57" t="n"/>
    </row>
    <row r="18">
      <c r="A18" s="34">
        <f>신상품list!B10</f>
        <v/>
      </c>
      <c r="B18" s="34">
        <f>신상품list!C10</f>
        <v/>
      </c>
      <c r="C18" s="34">
        <f>신상품list!D10</f>
        <v/>
      </c>
      <c r="D18" s="34">
        <f>신상품list!E10&amp;""</f>
        <v/>
      </c>
      <c r="E18" s="34">
        <f>신상품list!F10</f>
        <v/>
      </c>
      <c r="F18" s="35">
        <f>신상품list!H10</f>
        <v/>
      </c>
      <c r="G18" s="51">
        <f>IF(신상품list!I10="","전체",신상품list!I10)</f>
        <v/>
      </c>
      <c r="H18" s="72">
        <f>SUMIFS(매출원천!C:C,매출원천!$A:$A,$D18,매출원천!$B:$B,IF($G18="전체","*",$G18))</f>
        <v/>
      </c>
      <c r="I18" s="72">
        <f>SUMIFS(매출원천!D:D,매출원천!$A:$A,$D18,매출원천!$B:$B,IF($G18="전체","*",$G18))</f>
        <v/>
      </c>
      <c r="J18" s="72">
        <f>SUMIFS(매출원천!E:E,매출원천!$A:$A,$D18,매출원천!$B:$B,IF($G18="전체","*",$G18))</f>
        <v/>
      </c>
      <c r="K18" s="72">
        <f>SUMIFS(매출원천!F:F,매출원천!$A:$A,$D18,매출원천!$B:$B,IF($G18="전체","*",$G18))</f>
        <v/>
      </c>
      <c r="L18" s="72">
        <f>SUMIFS(매출원천!G:G,매출원천!$A:$A,$D18,매출원천!$B:$B,IF($G18="전체","*",$G18))</f>
        <v/>
      </c>
      <c r="M18" s="72">
        <f>SUMIFS(매출원천!H:H,매출원천!$A:$A,$D18,매출원천!$B:$B,IF($G18="전체","*",$G18))</f>
        <v/>
      </c>
      <c r="N18" s="72">
        <f>SUMIFS(매출원천!I:I,매출원천!$A:$A,$D18,매출원천!$B:$B,IF($G18="전체","*",$G18))</f>
        <v/>
      </c>
      <c r="O18" s="72">
        <f>SUMIFS(매출원천!J:J,매출원천!$A:$A,$D18,매출원천!$B:$B,IF($G18="전체","*",$G18))</f>
        <v/>
      </c>
      <c r="P18" s="72">
        <f>SUMIFS(매출원천!K:K,매출원천!$A:$A,$D18,매출원천!$B:$B,IF($G18="전체","*",$G18))</f>
        <v/>
      </c>
      <c r="Q18" s="72">
        <f>SUMIFS(매출원천!L:L,매출원천!$A:$A,$D18,매출원천!$B:$B,IF($G18="전체","*",$G18))</f>
        <v/>
      </c>
      <c r="R18" s="52">
        <f>COUNTIF(H18:Q18,"&gt;0")</f>
        <v/>
      </c>
      <c r="S18" s="52">
        <f>IF($F18="",0,(YEAR($D$8)-YEAR($F18))*12+MONTH($D$8)-MONTH($F18)+1)</f>
        <v/>
      </c>
      <c r="T18" s="73">
        <f>MAX(H18:Q18)</f>
        <v/>
      </c>
      <c r="U18" s="73">
        <f>IF($Z18&lt;&gt;"",$Z18,IF($F18&gt;=$D$6,"신상품",IF(AND($R18&lt;=$D$7,$S18&gt;$D$7),"스팟","기존")))</f>
        <v/>
      </c>
      <c r="V18" s="74">
        <f>IF($U18="신상품",IF($F18&lt;=EOMONTH(V$9,0),$D$5,0),IF($U18="스팟",$Q18,$Q18*$D$4))*IF($AB18="",1,$AB18)</f>
        <v/>
      </c>
      <c r="W18" s="74">
        <f>IF($U18="신상품",IF($F18&lt;=EOMONTH(W$9,0),$D$5,0),IF($U18="스팟",0,IF($AA18="월평균",AVERAGEIF($H18:$P18,"&gt;0"),IF($AA18="9월",$P18,IF($AA18="10월",$V18,$T18)))))*IF($AC18="",1,$AC18)</f>
        <v/>
      </c>
      <c r="X18" s="74">
        <f>IF($U18="신상품",IF($F18&lt;=EOMONTH(X$9,0),$D$5,0),IF($U18="스팟",0,IF($AA18="월평균",AVERAGEIF($H18:$P18,"&gt;0"),IF($AA18="9월",$P18,IF($AA18="10월",$V18,$T18)))))</f>
        <v/>
      </c>
      <c r="Y18" s="75">
        <f>SUM(H18:P18)+SUM(V18:X18)</f>
        <v/>
      </c>
      <c r="Z18" s="56" t="n"/>
      <c r="AA18" s="56" t="inlineStr">
        <is>
          <t>9월</t>
        </is>
      </c>
      <c r="AB18" s="57" t="n"/>
      <c r="AC18" s="57" t="n"/>
    </row>
    <row r="19" hidden="1" s="60">
      <c r="A19" s="34">
        <f>신상품list!B11</f>
        <v/>
      </c>
      <c r="B19" s="34">
        <f>신상품list!C11</f>
        <v/>
      </c>
      <c r="C19" s="34">
        <f>신상품list!D11</f>
        <v/>
      </c>
      <c r="D19" s="34">
        <f>신상품list!E11&amp;""</f>
        <v/>
      </c>
      <c r="E19" s="34">
        <f>신상품list!F11</f>
        <v/>
      </c>
      <c r="F19" s="35">
        <f>신상품list!H11</f>
        <v/>
      </c>
      <c r="G19" s="51">
        <f>IF(신상품list!I11="","전체",신상품list!I11)</f>
        <v/>
      </c>
      <c r="H19" s="72">
        <f>SUMIFS(매출원천!C:C,매출원천!$A:$A,$D19,매출원천!$B:$B,IF($G19="전체","*",$G19))</f>
        <v/>
      </c>
      <c r="I19" s="72">
        <f>SUMIFS(매출원천!D:D,매출원천!$A:$A,$D19,매출원천!$B:$B,IF($G19="전체","*",$G19))</f>
        <v/>
      </c>
      <c r="J19" s="72">
        <f>SUMIFS(매출원천!E:E,매출원천!$A:$A,$D19,매출원천!$B:$B,IF($G19="전체","*",$G19))</f>
        <v/>
      </c>
      <c r="K19" s="72">
        <f>SUMIFS(매출원천!F:F,매출원천!$A:$A,$D19,매출원천!$B:$B,IF($G19="전체","*",$G19))</f>
        <v/>
      </c>
      <c r="L19" s="72">
        <f>SUMIFS(매출원천!G:G,매출원천!$A:$A,$D19,매출원천!$B:$B,IF($G19="전체","*",$G19))</f>
        <v/>
      </c>
      <c r="M19" s="72">
        <f>SUMIFS(매출원천!H:H,매출원천!$A:$A,$D19,매출원천!$B:$B,IF($G19="전체","*",$G19))</f>
        <v/>
      </c>
      <c r="N19" s="72">
        <f>SUMIFS(매출원천!I:I,매출원천!$A:$A,$D19,매출원천!$B:$B,IF($G19="전체","*",$G19))</f>
        <v/>
      </c>
      <c r="O19" s="72">
        <f>SUMIFS(매출원천!J:J,매출원천!$A:$A,$D19,매출원천!$B:$B,IF($G19="전체","*",$G19))</f>
        <v/>
      </c>
      <c r="P19" s="72">
        <f>SUMIFS(매출원천!K:K,매출원천!$A:$A,$D19,매출원천!$B:$B,IF($G19="전체","*",$G19))</f>
        <v/>
      </c>
      <c r="Q19" s="72">
        <f>SUMIFS(매출원천!L:L,매출원천!$A:$A,$D19,매출원천!$B:$B,IF($G19="전체","*",$G19))</f>
        <v/>
      </c>
      <c r="R19" s="52">
        <f>COUNTIF(H19:Q19,"&gt;0")</f>
        <v/>
      </c>
      <c r="S19" s="52">
        <f>IF($F19="",0,(YEAR($D$8)-YEAR($F19))*12+MONTH($D$8)-MONTH($F19)+1)</f>
        <v/>
      </c>
      <c r="T19" s="73">
        <f>MAX(H19:Q19)</f>
        <v/>
      </c>
      <c r="U19" s="73">
        <f>IF($Z19&lt;&gt;"",$Z19,IF($F19&gt;=$D$6,"신상품",IF(AND($R19&lt;=$D$7,$S19&gt;$D$7),"스팟","기존")))</f>
        <v/>
      </c>
      <c r="V19" s="74">
        <f>IF($U19="신상품",IF($F19&lt;=EOMONTH(V$9,0),$D$5,0),IF($U19="스팟",$Q19,$Q19*$D$4))*IF($AB19="",1,$AB19)</f>
        <v/>
      </c>
      <c r="W19" s="74">
        <f>IF($U19="신상품",IF($F19&lt;=EOMONTH(W$9,0),$D$5,0),IF($U19="스팟",0,IF($AA19="월평균",AVERAGEIF($H19:$P19,"&gt;0"),IF($AA19="9월",$P19,IF($AA19="10월",$V19,$T19)))))*IF($AC19="",1,$AC19)</f>
        <v/>
      </c>
      <c r="X19" s="74">
        <f>IF($U19="신상품",IF($F19&lt;=EOMONTH(X$9,0),$D$5,0),IF($U19="스팟",0,IF($AA19="월평균",AVERAGEIF($H19:$P19,"&gt;0"),IF($AA19="9월",$P19,IF($AA19="10월",$V19,$T19)))))</f>
        <v/>
      </c>
      <c r="Y19" s="75">
        <f>SUM(H19:P19)+SUM(V19:X19)</f>
        <v/>
      </c>
      <c r="Z19" s="56" t="n"/>
      <c r="AA19" s="56" t="inlineStr">
        <is>
          <t>9월</t>
        </is>
      </c>
      <c r="AB19" s="57" t="n"/>
      <c r="AC19" s="57" t="n"/>
    </row>
    <row r="20" hidden="1" s="60">
      <c r="A20" s="34">
        <f>신상품list!B12</f>
        <v/>
      </c>
      <c r="B20" s="34">
        <f>신상품list!C12</f>
        <v/>
      </c>
      <c r="C20" s="34">
        <f>신상품list!D12</f>
        <v/>
      </c>
      <c r="D20" s="34">
        <f>신상품list!E12&amp;""</f>
        <v/>
      </c>
      <c r="E20" s="34">
        <f>신상품list!F12</f>
        <v/>
      </c>
      <c r="F20" s="35">
        <f>신상품list!H12</f>
        <v/>
      </c>
      <c r="G20" s="51">
        <f>IF(신상품list!I12="","전체",신상품list!I12)</f>
        <v/>
      </c>
      <c r="H20" s="72">
        <f>SUMIFS(매출원천!C:C,매출원천!$A:$A,$D20,매출원천!$B:$B,IF($G20="전체","*",$G20))</f>
        <v/>
      </c>
      <c r="I20" s="72">
        <f>SUMIFS(매출원천!D:D,매출원천!$A:$A,$D20,매출원천!$B:$B,IF($G20="전체","*",$G20))</f>
        <v/>
      </c>
      <c r="J20" s="72">
        <f>SUMIFS(매출원천!E:E,매출원천!$A:$A,$D20,매출원천!$B:$B,IF($G20="전체","*",$G20))</f>
        <v/>
      </c>
      <c r="K20" s="72">
        <f>SUMIFS(매출원천!F:F,매출원천!$A:$A,$D20,매출원천!$B:$B,IF($G20="전체","*",$G20))</f>
        <v/>
      </c>
      <c r="L20" s="72">
        <f>SUMIFS(매출원천!G:G,매출원천!$A:$A,$D20,매출원천!$B:$B,IF($G20="전체","*",$G20))</f>
        <v/>
      </c>
      <c r="M20" s="72">
        <f>SUMIFS(매출원천!H:H,매출원천!$A:$A,$D20,매출원천!$B:$B,IF($G20="전체","*",$G20))</f>
        <v/>
      </c>
      <c r="N20" s="72">
        <f>SUMIFS(매출원천!I:I,매출원천!$A:$A,$D20,매출원천!$B:$B,IF($G20="전체","*",$G20))</f>
        <v/>
      </c>
      <c r="O20" s="72">
        <f>SUMIFS(매출원천!J:J,매출원천!$A:$A,$D20,매출원천!$B:$B,IF($G20="전체","*",$G20))</f>
        <v/>
      </c>
      <c r="P20" s="72">
        <f>SUMIFS(매출원천!K:K,매출원천!$A:$A,$D20,매출원천!$B:$B,IF($G20="전체","*",$G20))</f>
        <v/>
      </c>
      <c r="Q20" s="72">
        <f>SUMIFS(매출원천!L:L,매출원천!$A:$A,$D20,매출원천!$B:$B,IF($G20="전체","*",$G20))</f>
        <v/>
      </c>
      <c r="R20" s="52">
        <f>COUNTIF(H20:Q20,"&gt;0")</f>
        <v/>
      </c>
      <c r="S20" s="52">
        <f>IF($F20="",0,(YEAR($D$8)-YEAR($F20))*12+MONTH($D$8)-MONTH($F20)+1)</f>
        <v/>
      </c>
      <c r="T20" s="73">
        <f>MAX(H20:Q20)</f>
        <v/>
      </c>
      <c r="U20" s="73">
        <f>IF($Z20&lt;&gt;"",$Z20,IF($F20&gt;=$D$6,"신상품",IF(AND($R20&lt;=$D$7,$S20&gt;$D$7),"스팟","기존")))</f>
        <v/>
      </c>
      <c r="V20" s="74">
        <f>IF($U20="신상품",IF($F20&lt;=EOMONTH(V$9,0),$D$5,0),IF($U20="스팟",$Q20,$Q20*$D$4))*IF($AB20="",1,$AB20)</f>
        <v/>
      </c>
      <c r="W20" s="74">
        <f>IF($U20="신상품",IF($F20&lt;=EOMONTH(W$9,0),$D$5,0),IF($U20="스팟",0,IF($AA20="월평균",AVERAGEIF($H20:$P20,"&gt;0"),IF($AA20="9월",$P20,IF($AA20="10월",$V20,$T20)))))*IF($AC20="",1,$AC20)</f>
        <v/>
      </c>
      <c r="X20" s="74">
        <f>IF($U20="신상품",IF($F20&lt;=EOMONTH(X$9,0),$D$5,0),IF($U20="스팟",0,IF($AA20="월평균",AVERAGEIF($H20:$P20,"&gt;0"),IF($AA20="9월",$P20,IF($AA20="10월",$V20,$T20)))))</f>
        <v/>
      </c>
      <c r="Y20" s="75">
        <f>SUM(H20:P20)+SUM(V20:X20)</f>
        <v/>
      </c>
      <c r="Z20" s="56" t="n"/>
      <c r="AA20" s="56" t="inlineStr">
        <is>
          <t>9월</t>
        </is>
      </c>
      <c r="AB20" s="57" t="n"/>
      <c r="AC20" s="57" t="n"/>
    </row>
    <row r="21">
      <c r="A21" s="34">
        <f>신상품list!B13</f>
        <v/>
      </c>
      <c r="B21" s="34">
        <f>신상품list!C13</f>
        <v/>
      </c>
      <c r="C21" s="34">
        <f>신상품list!D13</f>
        <v/>
      </c>
      <c r="D21" s="34">
        <f>신상품list!E13&amp;""</f>
        <v/>
      </c>
      <c r="E21" s="34">
        <f>신상품list!F13</f>
        <v/>
      </c>
      <c r="F21" s="35">
        <f>신상품list!H13</f>
        <v/>
      </c>
      <c r="G21" s="51">
        <f>IF(신상품list!I13="","전체",신상품list!I13)</f>
        <v/>
      </c>
      <c r="H21" s="72">
        <f>SUMIFS(매출원천!C:C,매출원천!$A:$A,$D21,매출원천!$B:$B,IF($G21="전체","*",$G21))</f>
        <v/>
      </c>
      <c r="I21" s="72">
        <f>SUMIFS(매출원천!D:D,매출원천!$A:$A,$D21,매출원천!$B:$B,IF($G21="전체","*",$G21))</f>
        <v/>
      </c>
      <c r="J21" s="72">
        <f>SUMIFS(매출원천!E:E,매출원천!$A:$A,$D21,매출원천!$B:$B,IF($G21="전체","*",$G21))</f>
        <v/>
      </c>
      <c r="K21" s="72">
        <f>SUMIFS(매출원천!F:F,매출원천!$A:$A,$D21,매출원천!$B:$B,IF($G21="전체","*",$G21))</f>
        <v/>
      </c>
      <c r="L21" s="72">
        <f>SUMIFS(매출원천!G:G,매출원천!$A:$A,$D21,매출원천!$B:$B,IF($G21="전체","*",$G21))</f>
        <v/>
      </c>
      <c r="M21" s="72">
        <f>SUMIFS(매출원천!H:H,매출원천!$A:$A,$D21,매출원천!$B:$B,IF($G21="전체","*",$G21))</f>
        <v/>
      </c>
      <c r="N21" s="72">
        <f>SUMIFS(매출원천!I:I,매출원천!$A:$A,$D21,매출원천!$B:$B,IF($G21="전체","*",$G21))</f>
        <v/>
      </c>
      <c r="O21" s="72">
        <f>SUMIFS(매출원천!J:J,매출원천!$A:$A,$D21,매출원천!$B:$B,IF($G21="전체","*",$G21))</f>
        <v/>
      </c>
      <c r="P21" s="72">
        <f>SUMIFS(매출원천!K:K,매출원천!$A:$A,$D21,매출원천!$B:$B,IF($G21="전체","*",$G21))</f>
        <v/>
      </c>
      <c r="Q21" s="72">
        <f>SUMIFS(매출원천!L:L,매출원천!$A:$A,$D21,매출원천!$B:$B,IF($G21="전체","*",$G21))</f>
        <v/>
      </c>
      <c r="R21" s="52">
        <f>COUNTIF(H21:Q21,"&gt;0")</f>
        <v/>
      </c>
      <c r="S21" s="52">
        <f>IF($F21="",0,(YEAR($D$8)-YEAR($F21))*12+MONTH($D$8)-MONTH($F21)+1)</f>
        <v/>
      </c>
      <c r="T21" s="73">
        <f>MAX(H21:Q21)</f>
        <v/>
      </c>
      <c r="U21" s="73">
        <f>IF($Z21&lt;&gt;"",$Z21,IF($F21&gt;=$D$6,"신상품",IF(AND($R21&lt;=$D$7,$S21&gt;$D$7),"스팟","기존")))</f>
        <v/>
      </c>
      <c r="V21" s="74">
        <f>IF($U21="신상품",IF($F21&lt;=EOMONTH(V$9,0),$D$5,0),IF($U21="스팟",$Q21,$Q21*$D$4))*IF($AB21="",1,$AB21)</f>
        <v/>
      </c>
      <c r="W21" s="74">
        <f>IF($U21="신상품",IF($F21&lt;=EOMONTH(W$9,0),$D$5,0),IF($U21="스팟",0,IF($AA21="월평균",AVERAGEIF($H21:$P21,"&gt;0"),IF($AA21="9월",$P21,IF($AA21="10월",$V21,$T21)))))*IF($AC21="",1,$AC21)</f>
        <v/>
      </c>
      <c r="X21" s="74">
        <f>IF($U21="신상품",IF($F21&lt;=EOMONTH(X$9,0),$D$5,0),IF($U21="스팟",0,IF($AA21="월평균",AVERAGEIF($H21:$P21,"&gt;0"),IF($AA21="9월",$P21,IF($AA21="10월",$V21,$T21)))))</f>
        <v/>
      </c>
      <c r="Y21" s="75">
        <f>SUM(H21:P21)+SUM(V21:X21)</f>
        <v/>
      </c>
      <c r="Z21" s="56" t="n"/>
      <c r="AA21" s="56" t="n"/>
      <c r="AB21" s="57" t="n"/>
      <c r="AC21" s="57" t="n"/>
    </row>
    <row r="22">
      <c r="A22" s="34">
        <f>신상품list!B14</f>
        <v/>
      </c>
      <c r="B22" s="34">
        <f>신상품list!C14</f>
        <v/>
      </c>
      <c r="C22" s="34">
        <f>신상품list!D14</f>
        <v/>
      </c>
      <c r="D22" s="34">
        <f>신상품list!E14&amp;""</f>
        <v/>
      </c>
      <c r="E22" s="34">
        <f>신상품list!F14</f>
        <v/>
      </c>
      <c r="F22" s="35">
        <f>신상품list!H14</f>
        <v/>
      </c>
      <c r="G22" s="51">
        <f>IF(신상품list!I14="","전체",신상품list!I14)</f>
        <v/>
      </c>
      <c r="H22" s="72">
        <f>SUMIFS(매출원천!C:C,매출원천!$A:$A,$D22,매출원천!$B:$B,IF($G22="전체","*",$G22))</f>
        <v/>
      </c>
      <c r="I22" s="72">
        <f>SUMIFS(매출원천!D:D,매출원천!$A:$A,$D22,매출원천!$B:$B,IF($G22="전체","*",$G22))</f>
        <v/>
      </c>
      <c r="J22" s="72">
        <f>SUMIFS(매출원천!E:E,매출원천!$A:$A,$D22,매출원천!$B:$B,IF($G22="전체","*",$G22))</f>
        <v/>
      </c>
      <c r="K22" s="72">
        <f>SUMIFS(매출원천!F:F,매출원천!$A:$A,$D22,매출원천!$B:$B,IF($G22="전체","*",$G22))</f>
        <v/>
      </c>
      <c r="L22" s="72">
        <f>SUMIFS(매출원천!G:G,매출원천!$A:$A,$D22,매출원천!$B:$B,IF($G22="전체","*",$G22))</f>
        <v/>
      </c>
      <c r="M22" s="72">
        <f>SUMIFS(매출원천!H:H,매출원천!$A:$A,$D22,매출원천!$B:$B,IF($G22="전체","*",$G22))</f>
        <v/>
      </c>
      <c r="N22" s="72">
        <f>SUMIFS(매출원천!I:I,매출원천!$A:$A,$D22,매출원천!$B:$B,IF($G22="전체","*",$G22))</f>
        <v/>
      </c>
      <c r="O22" s="72">
        <f>SUMIFS(매출원천!J:J,매출원천!$A:$A,$D22,매출원천!$B:$B,IF($G22="전체","*",$G22))</f>
        <v/>
      </c>
      <c r="P22" s="72">
        <f>SUMIFS(매출원천!K:K,매출원천!$A:$A,$D22,매출원천!$B:$B,IF($G22="전체","*",$G22))</f>
        <v/>
      </c>
      <c r="Q22" s="72">
        <f>SUMIFS(매출원천!L:L,매출원천!$A:$A,$D22,매출원천!$B:$B,IF($G22="전체","*",$G22))</f>
        <v/>
      </c>
      <c r="R22" s="52">
        <f>COUNTIF(H22:Q22,"&gt;0")</f>
        <v/>
      </c>
      <c r="S22" s="52">
        <f>IF($F22="",0,(YEAR($D$8)-YEAR($F22))*12+MONTH($D$8)-MONTH($F22)+1)</f>
        <v/>
      </c>
      <c r="T22" s="73">
        <f>MAX(H22:Q22)</f>
        <v/>
      </c>
      <c r="U22" s="73">
        <f>IF($Z22&lt;&gt;"",$Z22,IF($F22&gt;=$D$6,"신상품",IF(AND($R22&lt;=$D$7,$S22&gt;$D$7),"스팟","기존")))</f>
        <v/>
      </c>
      <c r="V22" s="74">
        <f>IF($U22="신상품",IF($F22&lt;=EOMONTH(V$9,0),$D$5,0),IF($U22="스팟",$Q22,$Q22*$D$4))*IF($AB22="",1,$AB22)</f>
        <v/>
      </c>
      <c r="W22" s="74">
        <f>IF($U22="신상품",IF($F22&lt;=EOMONTH(W$9,0),$D$5,0),IF($U22="스팟",0,IF($AA22="월평균",AVERAGEIF($H22:$P22,"&gt;0"),IF($AA22="9월",$P22,IF($AA22="10월",$V22,$T22)))))*IF($AC22="",1,$AC22)</f>
        <v/>
      </c>
      <c r="X22" s="74">
        <f>IF($U22="신상품",IF($F22&lt;=EOMONTH(X$9,0),$D$5,0),IF($U22="스팟",0,IF($AA22="월평균",AVERAGEIF($H22:$P22,"&gt;0"),IF($AA22="9월",$P22,IF($AA22="10월",$V22,$T22)))))</f>
        <v/>
      </c>
      <c r="Y22" s="75">
        <f>SUM(H22:P22)+SUM(V22:X22)</f>
        <v/>
      </c>
      <c r="Z22" s="56" t="n"/>
      <c r="AA22" s="56" t="n"/>
      <c r="AB22" s="57" t="n"/>
      <c r="AC22" s="57" t="n"/>
    </row>
    <row r="23" hidden="1" s="60">
      <c r="A23" s="34">
        <f>신상품list!B15</f>
        <v/>
      </c>
      <c r="B23" s="34">
        <f>신상품list!C15</f>
        <v/>
      </c>
      <c r="C23" s="34">
        <f>신상품list!D15</f>
        <v/>
      </c>
      <c r="D23" s="34">
        <f>신상품list!E15&amp;""</f>
        <v/>
      </c>
      <c r="E23" s="34">
        <f>신상품list!F15</f>
        <v/>
      </c>
      <c r="F23" s="35">
        <f>신상품list!H15</f>
        <v/>
      </c>
      <c r="G23" s="51">
        <f>IF(신상품list!I15="","전체",신상품list!I15)</f>
        <v/>
      </c>
      <c r="H23" s="72">
        <f>SUMIFS(매출원천!C:C,매출원천!$A:$A,$D23,매출원천!$B:$B,IF($G23="전체","*",$G23))</f>
        <v/>
      </c>
      <c r="I23" s="72">
        <f>SUMIFS(매출원천!D:D,매출원천!$A:$A,$D23,매출원천!$B:$B,IF($G23="전체","*",$G23))</f>
        <v/>
      </c>
      <c r="J23" s="72">
        <f>SUMIFS(매출원천!E:E,매출원천!$A:$A,$D23,매출원천!$B:$B,IF($G23="전체","*",$G23))</f>
        <v/>
      </c>
      <c r="K23" s="72">
        <f>SUMIFS(매출원천!F:F,매출원천!$A:$A,$D23,매출원천!$B:$B,IF($G23="전체","*",$G23))</f>
        <v/>
      </c>
      <c r="L23" s="72">
        <f>SUMIFS(매출원천!G:G,매출원천!$A:$A,$D23,매출원천!$B:$B,IF($G23="전체","*",$G23))</f>
        <v/>
      </c>
      <c r="M23" s="72">
        <f>SUMIFS(매출원천!H:H,매출원천!$A:$A,$D23,매출원천!$B:$B,IF($G23="전체","*",$G23))</f>
        <v/>
      </c>
      <c r="N23" s="72">
        <f>SUMIFS(매출원천!I:I,매출원천!$A:$A,$D23,매출원천!$B:$B,IF($G23="전체","*",$G23))</f>
        <v/>
      </c>
      <c r="O23" s="72">
        <f>SUMIFS(매출원천!J:J,매출원천!$A:$A,$D23,매출원천!$B:$B,IF($G23="전체","*",$G23))</f>
        <v/>
      </c>
      <c r="P23" s="72">
        <f>SUMIFS(매출원천!K:K,매출원천!$A:$A,$D23,매출원천!$B:$B,IF($G23="전체","*",$G23))</f>
        <v/>
      </c>
      <c r="Q23" s="72">
        <f>SUMIFS(매출원천!L:L,매출원천!$A:$A,$D23,매출원천!$B:$B,IF($G23="전체","*",$G23))</f>
        <v/>
      </c>
      <c r="R23" s="52">
        <f>COUNTIF(H23:Q23,"&gt;0")</f>
        <v/>
      </c>
      <c r="S23" s="52">
        <f>IF($F23="",0,(YEAR($D$8)-YEAR($F23))*12+MONTH($D$8)-MONTH($F23)+1)</f>
        <v/>
      </c>
      <c r="T23" s="73">
        <f>MAX(H23:Q23)</f>
        <v/>
      </c>
      <c r="U23" s="73">
        <f>IF($Z23&lt;&gt;"",$Z23,IF($F23&gt;=$D$6,"신상품",IF(AND($R23&lt;=$D$7,$S23&gt;$D$7),"스팟","기존")))</f>
        <v/>
      </c>
      <c r="V23" s="74">
        <f>IF($U23="신상품",IF($F23&lt;=EOMONTH(V$9,0),$D$5,0),IF($U23="스팟",$Q23,$Q23*$D$4))*IF($AB23="",1,$AB23)</f>
        <v/>
      </c>
      <c r="W23" s="74">
        <f>IF($U23="신상품",IF($F23&lt;=EOMONTH(W$9,0),$D$5,0),IF($U23="스팟",0,IF($AA23="월평균",AVERAGEIF($H23:$P23,"&gt;0"),IF($AA23="9월",$P23,IF($AA23="10월",$V23,$T23)))))*IF($AC23="",1,$AC23)</f>
        <v/>
      </c>
      <c r="X23" s="74">
        <f>IF($U23="신상품",IF($F23&lt;=EOMONTH(X$9,0),$D$5,0),IF($U23="스팟",0,IF($AA23="월평균",AVERAGEIF($H23:$P23,"&gt;0"),IF($AA23="9월",$P23,IF($AA23="10월",$V23,$T23)))))</f>
        <v/>
      </c>
      <c r="Y23" s="75">
        <f>SUM(H23:P23)+SUM(V23:X23)</f>
        <v/>
      </c>
      <c r="Z23" s="56" t="n"/>
      <c r="AA23" s="56" t="n"/>
      <c r="AB23" s="57" t="n"/>
      <c r="AC23" s="57" t="n"/>
    </row>
    <row r="24">
      <c r="A24" s="34">
        <f>신상품list!B16</f>
        <v/>
      </c>
      <c r="B24" s="34">
        <f>신상품list!C16</f>
        <v/>
      </c>
      <c r="C24" s="34">
        <f>신상품list!D16</f>
        <v/>
      </c>
      <c r="D24" s="34">
        <f>신상품list!E16&amp;""</f>
        <v/>
      </c>
      <c r="E24" s="34">
        <f>신상품list!F16</f>
        <v/>
      </c>
      <c r="F24" s="35">
        <f>신상품list!H16</f>
        <v/>
      </c>
      <c r="G24" s="51">
        <f>IF(신상품list!I16="","전체",신상품list!I16)</f>
        <v/>
      </c>
      <c r="H24" s="72">
        <f>SUMIFS(매출원천!C:C,매출원천!$A:$A,$D24,매출원천!$B:$B,IF($G24="전체","*",$G24))</f>
        <v/>
      </c>
      <c r="I24" s="72">
        <f>SUMIFS(매출원천!D:D,매출원천!$A:$A,$D24,매출원천!$B:$B,IF($G24="전체","*",$G24))</f>
        <v/>
      </c>
      <c r="J24" s="72">
        <f>SUMIFS(매출원천!E:E,매출원천!$A:$A,$D24,매출원천!$B:$B,IF($G24="전체","*",$G24))</f>
        <v/>
      </c>
      <c r="K24" s="72">
        <f>SUMIFS(매출원천!F:F,매출원천!$A:$A,$D24,매출원천!$B:$B,IF($G24="전체","*",$G24))</f>
        <v/>
      </c>
      <c r="L24" s="72">
        <f>SUMIFS(매출원천!G:G,매출원천!$A:$A,$D24,매출원천!$B:$B,IF($G24="전체","*",$G24))</f>
        <v/>
      </c>
      <c r="M24" s="72">
        <f>SUMIFS(매출원천!H:H,매출원천!$A:$A,$D24,매출원천!$B:$B,IF($G24="전체","*",$G24))</f>
        <v/>
      </c>
      <c r="N24" s="72">
        <f>SUMIFS(매출원천!I:I,매출원천!$A:$A,$D24,매출원천!$B:$B,IF($G24="전체","*",$G24))</f>
        <v/>
      </c>
      <c r="O24" s="72">
        <f>SUMIFS(매출원천!J:J,매출원천!$A:$A,$D24,매출원천!$B:$B,IF($G24="전체","*",$G24))</f>
        <v/>
      </c>
      <c r="P24" s="72">
        <f>SUMIFS(매출원천!K:K,매출원천!$A:$A,$D24,매출원천!$B:$B,IF($G24="전체","*",$G24))</f>
        <v/>
      </c>
      <c r="Q24" s="72">
        <f>SUMIFS(매출원천!L:L,매출원천!$A:$A,$D24,매출원천!$B:$B,IF($G24="전체","*",$G24))</f>
        <v/>
      </c>
      <c r="R24" s="52">
        <f>COUNTIF(H24:Q24,"&gt;0")</f>
        <v/>
      </c>
      <c r="S24" s="52">
        <f>IF($F24="",0,(YEAR($D$8)-YEAR($F24))*12+MONTH($D$8)-MONTH($F24)+1)</f>
        <v/>
      </c>
      <c r="T24" s="73">
        <f>MAX(H24:Q24)</f>
        <v/>
      </c>
      <c r="U24" s="73">
        <f>IF($Z24&lt;&gt;"",$Z24,IF($F24&gt;=$D$6,"신상품",IF(AND($R24&lt;=$D$7,$S24&gt;$D$7),"스팟","기존")))</f>
        <v/>
      </c>
      <c r="V24" s="74">
        <f>IF($U24="신상품",IF($F24&lt;=EOMONTH(V$9,0),$D$5,0),IF($U24="스팟",$Q24,$Q24*$D$4))*IF($AB24="",1,$AB24)</f>
        <v/>
      </c>
      <c r="W24" s="74">
        <f>IF($U24="신상품",IF($F24&lt;=EOMONTH(W$9,0),$D$5,0),IF($U24="스팟",0,IF($AA24="월평균",AVERAGEIF($H24:$P24,"&gt;0"),IF($AA24="9월",$P24,IF($AA24="10월",$V24,$T24)))))*IF($AC24="",1,$AC24)</f>
        <v/>
      </c>
      <c r="X24" s="74">
        <f>IF($U24="신상품",IF($F24&lt;=EOMONTH(X$9,0),$D$5,0),IF($U24="스팟",0,IF($AA24="월평균",AVERAGEIF($H24:$P24,"&gt;0"),IF($AA24="9월",$P24,IF($AA24="10월",$V24,$T24)))))</f>
        <v/>
      </c>
      <c r="Y24" s="75">
        <f>SUM(H24:P24)+SUM(V24:X24)</f>
        <v/>
      </c>
      <c r="Z24" s="56" t="n"/>
      <c r="AA24" s="56" t="inlineStr">
        <is>
          <t>10월</t>
        </is>
      </c>
      <c r="AB24" s="57" t="n"/>
      <c r="AC24" s="57" t="n"/>
    </row>
    <row r="25">
      <c r="A25" s="34">
        <f>신상품list!B17</f>
        <v/>
      </c>
      <c r="B25" s="34">
        <f>신상품list!C17</f>
        <v/>
      </c>
      <c r="C25" s="34">
        <f>신상품list!D17</f>
        <v/>
      </c>
      <c r="D25" s="34">
        <f>신상품list!E17&amp;""</f>
        <v/>
      </c>
      <c r="E25" s="34">
        <f>신상품list!F17</f>
        <v/>
      </c>
      <c r="F25" s="35">
        <f>신상품list!H17</f>
        <v/>
      </c>
      <c r="G25" s="51">
        <f>IF(신상품list!I17="","전체",신상품list!I17)</f>
        <v/>
      </c>
      <c r="H25" s="72">
        <f>SUMIFS(매출원천!C:C,매출원천!$A:$A,$D25,매출원천!$B:$B,IF($G25="전체","*",$G25))</f>
        <v/>
      </c>
      <c r="I25" s="72">
        <f>SUMIFS(매출원천!D:D,매출원천!$A:$A,$D25,매출원천!$B:$B,IF($G25="전체","*",$G25))</f>
        <v/>
      </c>
      <c r="J25" s="72">
        <f>SUMIFS(매출원천!E:E,매출원천!$A:$A,$D25,매출원천!$B:$B,IF($G25="전체","*",$G25))</f>
        <v/>
      </c>
      <c r="K25" s="72">
        <f>SUMIFS(매출원천!F:F,매출원천!$A:$A,$D25,매출원천!$B:$B,IF($G25="전체","*",$G25))</f>
        <v/>
      </c>
      <c r="L25" s="72">
        <f>SUMIFS(매출원천!G:G,매출원천!$A:$A,$D25,매출원천!$B:$B,IF($G25="전체","*",$G25))</f>
        <v/>
      </c>
      <c r="M25" s="72">
        <f>SUMIFS(매출원천!H:H,매출원천!$A:$A,$D25,매출원천!$B:$B,IF($G25="전체","*",$G25))</f>
        <v/>
      </c>
      <c r="N25" s="72">
        <f>SUMIFS(매출원천!I:I,매출원천!$A:$A,$D25,매출원천!$B:$B,IF($G25="전체","*",$G25))</f>
        <v/>
      </c>
      <c r="O25" s="72">
        <f>SUMIFS(매출원천!J:J,매출원천!$A:$A,$D25,매출원천!$B:$B,IF($G25="전체","*",$G25))</f>
        <v/>
      </c>
      <c r="P25" s="72">
        <f>SUMIFS(매출원천!K:K,매출원천!$A:$A,$D25,매출원천!$B:$B,IF($G25="전체","*",$G25))</f>
        <v/>
      </c>
      <c r="Q25" s="72">
        <f>SUMIFS(매출원천!L:L,매출원천!$A:$A,$D25,매출원천!$B:$B,IF($G25="전체","*",$G25))</f>
        <v/>
      </c>
      <c r="R25" s="52">
        <f>COUNTIF(H25:Q25,"&gt;0")</f>
        <v/>
      </c>
      <c r="S25" s="52">
        <f>IF($F25="",0,(YEAR($D$8)-YEAR($F25))*12+MONTH($D$8)-MONTH($F25)+1)</f>
        <v/>
      </c>
      <c r="T25" s="73">
        <f>MAX(H25:Q25)</f>
        <v/>
      </c>
      <c r="U25" s="73">
        <f>IF($Z25&lt;&gt;"",$Z25,IF($F25&gt;=$D$6,"신상품",IF(AND($R25&lt;=$D$7,$S25&gt;$D$7),"스팟","기존")))</f>
        <v/>
      </c>
      <c r="V25" s="74">
        <f>IF($U25="신상품",IF($F25&lt;=EOMONTH(V$9,0),$D$5,0),IF($U25="스팟",$Q25,$Q25*$D$4))*IF($AB25="",1,$AB25)</f>
        <v/>
      </c>
      <c r="W25" s="74">
        <f>IF($U25="신상품",IF($F25&lt;=EOMONTH(W$9,0),$D$5,0),IF($U25="스팟",0,IF($AA25="월평균",AVERAGEIF($H25:$P25,"&gt;0"),IF($AA25="9월",$P25,IF($AA25="10월",$V25,$T25)))))*IF($AC25="",1,$AC25)</f>
        <v/>
      </c>
      <c r="X25" s="74">
        <f>IF($U25="신상품",IF($F25&lt;=EOMONTH(X$9,0),$D$5,0),IF($U25="스팟",0,IF($AA25="월평균",AVERAGEIF($H25:$P25,"&gt;0"),IF($AA25="9월",$P25,IF($AA25="10월",$V25,$T25)))))</f>
        <v/>
      </c>
      <c r="Y25" s="75">
        <f>SUM(H25:P25)+SUM(V25:X25)</f>
        <v/>
      </c>
      <c r="Z25" s="56" t="n"/>
      <c r="AA25" s="56" t="n"/>
      <c r="AB25" s="57" t="n"/>
      <c r="AC25" s="57" t="n"/>
    </row>
    <row r="26">
      <c r="A26" s="34">
        <f>신상품list!B18</f>
        <v/>
      </c>
      <c r="B26" s="34">
        <f>신상품list!C18</f>
        <v/>
      </c>
      <c r="C26" s="34">
        <f>신상품list!D18</f>
        <v/>
      </c>
      <c r="D26" s="34">
        <f>신상품list!E18&amp;""</f>
        <v/>
      </c>
      <c r="E26" s="34">
        <f>신상품list!F18</f>
        <v/>
      </c>
      <c r="F26" s="35">
        <f>신상품list!H18</f>
        <v/>
      </c>
      <c r="G26" s="51">
        <f>IF(신상품list!I18="","전체",신상품list!I18)</f>
        <v/>
      </c>
      <c r="H26" s="72">
        <f>SUMIFS(매출원천!C:C,매출원천!$A:$A,$D26,매출원천!$B:$B,IF($G26="전체","*",$G26))</f>
        <v/>
      </c>
      <c r="I26" s="72">
        <f>SUMIFS(매출원천!D:D,매출원천!$A:$A,$D26,매출원천!$B:$B,IF($G26="전체","*",$G26))</f>
        <v/>
      </c>
      <c r="J26" s="72">
        <f>SUMIFS(매출원천!E:E,매출원천!$A:$A,$D26,매출원천!$B:$B,IF($G26="전체","*",$G26))</f>
        <v/>
      </c>
      <c r="K26" s="72">
        <f>SUMIFS(매출원천!F:F,매출원천!$A:$A,$D26,매출원천!$B:$B,IF($G26="전체","*",$G26))</f>
        <v/>
      </c>
      <c r="L26" s="72">
        <f>SUMIFS(매출원천!G:G,매출원천!$A:$A,$D26,매출원천!$B:$B,IF($G26="전체","*",$G26))</f>
        <v/>
      </c>
      <c r="M26" s="72">
        <f>SUMIFS(매출원천!H:H,매출원천!$A:$A,$D26,매출원천!$B:$B,IF($G26="전체","*",$G26))</f>
        <v/>
      </c>
      <c r="N26" s="72">
        <f>SUMIFS(매출원천!I:I,매출원천!$A:$A,$D26,매출원천!$B:$B,IF($G26="전체","*",$G26))</f>
        <v/>
      </c>
      <c r="O26" s="72">
        <f>SUMIFS(매출원천!J:J,매출원천!$A:$A,$D26,매출원천!$B:$B,IF($G26="전체","*",$G26))</f>
        <v/>
      </c>
      <c r="P26" s="72">
        <f>SUMIFS(매출원천!K:K,매출원천!$A:$A,$D26,매출원천!$B:$B,IF($G26="전체","*",$G26))</f>
        <v/>
      </c>
      <c r="Q26" s="72">
        <f>SUMIFS(매출원천!L:L,매출원천!$A:$A,$D26,매출원천!$B:$B,IF($G26="전체","*",$G26))</f>
        <v/>
      </c>
      <c r="R26" s="52">
        <f>COUNTIF(H26:Q26,"&gt;0")</f>
        <v/>
      </c>
      <c r="S26" s="52">
        <f>IF($F26="",0,(YEAR($D$8)-YEAR($F26))*12+MONTH($D$8)-MONTH($F26)+1)</f>
        <v/>
      </c>
      <c r="T26" s="73">
        <f>MAX(H26:Q26)</f>
        <v/>
      </c>
      <c r="U26" s="73">
        <f>IF($Z26&lt;&gt;"",$Z26,IF($F26&gt;=$D$6,"신상품",IF(AND($R26&lt;=$D$7,$S26&gt;$D$7),"스팟","기존")))</f>
        <v/>
      </c>
      <c r="V26" s="74">
        <f>IF($U26="신상품",IF($F26&lt;=EOMONTH(V$9,0),$D$5,0),IF($U26="스팟",$Q26,$Q26*$D$4))*IF($AB26="",1,$AB26)</f>
        <v/>
      </c>
      <c r="W26" s="74">
        <f>IF($U26="신상품",IF($F26&lt;=EOMONTH(W$9,0),$D$5,0),IF($U26="스팟",0,IF($AA26="월평균",AVERAGEIF($H26:$P26,"&gt;0"),IF($AA26="9월",$P26,IF($AA26="10월",$V26,$T26)))))*IF($AC26="",1,$AC26)</f>
        <v/>
      </c>
      <c r="X26" s="74">
        <f>IF($U26="신상품",IF($F26&lt;=EOMONTH(X$9,0),$D$5,0),IF($U26="스팟",0,IF($AA26="월평균",AVERAGEIF($H26:$P26,"&gt;0"),IF($AA26="9월",$P26,IF($AA26="10월",$V26,$T26)))))</f>
        <v/>
      </c>
      <c r="Y26" s="75">
        <f>SUM(H26:P26)+SUM(V26:X26)</f>
        <v/>
      </c>
      <c r="Z26" s="56" t="n"/>
      <c r="AA26" s="56" t="n"/>
      <c r="AB26" s="57" t="n"/>
      <c r="AC26" s="57" t="n"/>
    </row>
    <row r="27">
      <c r="A27" s="34">
        <f>신상품list!B19</f>
        <v/>
      </c>
      <c r="B27" s="34">
        <f>신상품list!C19</f>
        <v/>
      </c>
      <c r="C27" s="34">
        <f>신상품list!D19</f>
        <v/>
      </c>
      <c r="D27" s="34">
        <f>신상품list!E19&amp;""</f>
        <v/>
      </c>
      <c r="E27" s="34">
        <f>신상품list!F19</f>
        <v/>
      </c>
      <c r="F27" s="35">
        <f>신상품list!H19</f>
        <v/>
      </c>
      <c r="G27" s="51">
        <f>IF(신상품list!I19="","전체",신상품list!I19)</f>
        <v/>
      </c>
      <c r="H27" s="72">
        <f>SUMIFS(매출원천!C:C,매출원천!$A:$A,$D27,매출원천!$B:$B,IF($G27="전체","*",$G27))</f>
        <v/>
      </c>
      <c r="I27" s="72">
        <f>SUMIFS(매출원천!D:D,매출원천!$A:$A,$D27,매출원천!$B:$B,IF($G27="전체","*",$G27))</f>
        <v/>
      </c>
      <c r="J27" s="72">
        <f>SUMIFS(매출원천!E:E,매출원천!$A:$A,$D27,매출원천!$B:$B,IF($G27="전체","*",$G27))</f>
        <v/>
      </c>
      <c r="K27" s="72">
        <f>SUMIFS(매출원천!F:F,매출원천!$A:$A,$D27,매출원천!$B:$B,IF($G27="전체","*",$G27))</f>
        <v/>
      </c>
      <c r="L27" s="72">
        <f>SUMIFS(매출원천!G:G,매출원천!$A:$A,$D27,매출원천!$B:$B,IF($G27="전체","*",$G27))</f>
        <v/>
      </c>
      <c r="M27" s="72">
        <f>SUMIFS(매출원천!H:H,매출원천!$A:$A,$D27,매출원천!$B:$B,IF($G27="전체","*",$G27))</f>
        <v/>
      </c>
      <c r="N27" s="72">
        <f>SUMIFS(매출원천!I:I,매출원천!$A:$A,$D27,매출원천!$B:$B,IF($G27="전체","*",$G27))</f>
        <v/>
      </c>
      <c r="O27" s="72">
        <f>SUMIFS(매출원천!J:J,매출원천!$A:$A,$D27,매출원천!$B:$B,IF($G27="전체","*",$G27))</f>
        <v/>
      </c>
      <c r="P27" s="72">
        <f>SUMIFS(매출원천!K:K,매출원천!$A:$A,$D27,매출원천!$B:$B,IF($G27="전체","*",$G27))</f>
        <v/>
      </c>
      <c r="Q27" s="72">
        <f>SUMIFS(매출원천!L:L,매출원천!$A:$A,$D27,매출원천!$B:$B,IF($G27="전체","*",$G27))</f>
        <v/>
      </c>
      <c r="R27" s="52">
        <f>COUNTIF(H27:Q27,"&gt;0")</f>
        <v/>
      </c>
      <c r="S27" s="52">
        <f>IF($F27="",0,(YEAR($D$8)-YEAR($F27))*12+MONTH($D$8)-MONTH($F27)+1)</f>
        <v/>
      </c>
      <c r="T27" s="73">
        <f>MAX(H27:Q27)</f>
        <v/>
      </c>
      <c r="U27" s="73">
        <f>IF($Z27&lt;&gt;"",$Z27,IF($F27&gt;=$D$6,"신상품",IF(AND($R27&lt;=$D$7,$S27&gt;$D$7),"스팟","기존")))</f>
        <v/>
      </c>
      <c r="V27" s="74">
        <f>IF($U27="신상품",IF($F27&lt;=EOMONTH(V$9,0),$D$5,0),IF($U27="스팟",$Q27,$Q27*$D$4))*IF($AB27="",1,$AB27)</f>
        <v/>
      </c>
      <c r="W27" s="74">
        <f>IF($U27="신상품",IF($F27&lt;=EOMONTH(W$9,0),$D$5,0),IF($U27="스팟",0,IF($AA27="월평균",AVERAGEIF($H27:$P27,"&gt;0"),IF($AA27="9월",$P27,IF($AA27="10월",$V27,$T27)))))*IF($AC27="",1,$AC27)</f>
        <v/>
      </c>
      <c r="X27" s="74">
        <f>IF($U27="신상품",IF($F27&lt;=EOMONTH(X$9,0),$D$5,0),IF($U27="스팟",0,IF($AA27="월평균",AVERAGEIF($H27:$P27,"&gt;0"),IF($AA27="9월",$P27,IF($AA27="10월",$V27,$T27)))))</f>
        <v/>
      </c>
      <c r="Y27" s="75">
        <f>SUM(H27:P27)+SUM(V27:X27)</f>
        <v/>
      </c>
      <c r="Z27" s="56" t="n"/>
      <c r="AA27" s="56" t="n"/>
      <c r="AB27" s="57" t="n"/>
      <c r="AC27" s="57" t="n"/>
    </row>
    <row r="28">
      <c r="A28" s="34">
        <f>신상품list!B20</f>
        <v/>
      </c>
      <c r="B28" s="34">
        <f>신상품list!C20</f>
        <v/>
      </c>
      <c r="C28" s="34">
        <f>신상품list!D20</f>
        <v/>
      </c>
      <c r="D28" s="34">
        <f>신상품list!E20&amp;""</f>
        <v/>
      </c>
      <c r="E28" s="34">
        <f>신상품list!F20</f>
        <v/>
      </c>
      <c r="F28" s="35">
        <f>신상품list!H20</f>
        <v/>
      </c>
      <c r="G28" s="51">
        <f>IF(신상품list!I20="","전체",신상품list!I20)</f>
        <v/>
      </c>
      <c r="H28" s="72">
        <f>SUMIFS(매출원천!C:C,매출원천!$A:$A,$D28,매출원천!$B:$B,IF($G28="전체","*",$G28))</f>
        <v/>
      </c>
      <c r="I28" s="72">
        <f>SUMIFS(매출원천!D:D,매출원천!$A:$A,$D28,매출원천!$B:$B,IF($G28="전체","*",$G28))</f>
        <v/>
      </c>
      <c r="J28" s="72">
        <f>SUMIFS(매출원천!E:E,매출원천!$A:$A,$D28,매출원천!$B:$B,IF($G28="전체","*",$G28))</f>
        <v/>
      </c>
      <c r="K28" s="72">
        <f>SUMIFS(매출원천!F:F,매출원천!$A:$A,$D28,매출원천!$B:$B,IF($G28="전체","*",$G28))</f>
        <v/>
      </c>
      <c r="L28" s="72">
        <f>SUMIFS(매출원천!G:G,매출원천!$A:$A,$D28,매출원천!$B:$B,IF($G28="전체","*",$G28))</f>
        <v/>
      </c>
      <c r="M28" s="72">
        <f>SUMIFS(매출원천!H:H,매출원천!$A:$A,$D28,매출원천!$B:$B,IF($G28="전체","*",$G28))</f>
        <v/>
      </c>
      <c r="N28" s="72">
        <f>SUMIFS(매출원천!I:I,매출원천!$A:$A,$D28,매출원천!$B:$B,IF($G28="전체","*",$G28))</f>
        <v/>
      </c>
      <c r="O28" s="72">
        <f>SUMIFS(매출원천!J:J,매출원천!$A:$A,$D28,매출원천!$B:$B,IF($G28="전체","*",$G28))</f>
        <v/>
      </c>
      <c r="P28" s="72">
        <f>SUMIFS(매출원천!K:K,매출원천!$A:$A,$D28,매출원천!$B:$B,IF($G28="전체","*",$G28))</f>
        <v/>
      </c>
      <c r="Q28" s="72">
        <f>SUMIFS(매출원천!L:L,매출원천!$A:$A,$D28,매출원천!$B:$B,IF($G28="전체","*",$G28))</f>
        <v/>
      </c>
      <c r="R28" s="52">
        <f>COUNTIF(H28:Q28,"&gt;0")</f>
        <v/>
      </c>
      <c r="S28" s="52">
        <f>IF($F28="",0,(YEAR($D$8)-YEAR($F28))*12+MONTH($D$8)-MONTH($F28)+1)</f>
        <v/>
      </c>
      <c r="T28" s="73">
        <f>MAX(H28:Q28)</f>
        <v/>
      </c>
      <c r="U28" s="73">
        <f>IF($Z28&lt;&gt;"",$Z28,IF($F28&gt;=$D$6,"신상품",IF(AND($R28&lt;=$D$7,$S28&gt;$D$7),"스팟","기존")))</f>
        <v/>
      </c>
      <c r="V28" s="74">
        <f>IF($U28="신상품",IF($F28&lt;=EOMONTH(V$9,0),$D$5,0),IF($U28="스팟",$Q28,$Q28*$D$4))*IF($AB28="",1,$AB28)</f>
        <v/>
      </c>
      <c r="W28" s="74">
        <f>IF($U28="신상품",IF($F28&lt;=EOMONTH(W$9,0),$D$5,0),IF($U28="스팟",0,IF($AA28="월평균",AVERAGEIF($H28:$P28,"&gt;0"),IF($AA28="9월",$P28,IF($AA28="10월",$V28,$T28)))))*IF($AC28="",1,$AC28)</f>
        <v/>
      </c>
      <c r="X28" s="74">
        <f>IF($U28="신상품",IF($F28&lt;=EOMONTH(X$9,0),$D$5,0),IF($U28="스팟",0,IF($AA28="월평균",AVERAGEIF($H28:$P28,"&gt;0"),IF($AA28="9월",$P28,IF($AA28="10월",$V28,$T28)))))</f>
        <v/>
      </c>
      <c r="Y28" s="75">
        <f>SUM(H28:P28)+SUM(V28:X28)</f>
        <v/>
      </c>
      <c r="Z28" s="56" t="n"/>
      <c r="AA28" s="56" t="n"/>
      <c r="AB28" s="57" t="n"/>
      <c r="AC28" s="57" t="n"/>
    </row>
    <row r="29">
      <c r="A29" s="34">
        <f>신상품list!B21</f>
        <v/>
      </c>
      <c r="B29" s="34">
        <f>신상품list!C21</f>
        <v/>
      </c>
      <c r="C29" s="34">
        <f>신상품list!D21</f>
        <v/>
      </c>
      <c r="D29" s="34">
        <f>신상품list!E21&amp;""</f>
        <v/>
      </c>
      <c r="E29" s="34">
        <f>신상품list!F21</f>
        <v/>
      </c>
      <c r="F29" s="35">
        <f>신상품list!H21</f>
        <v/>
      </c>
      <c r="G29" s="51">
        <f>IF(신상품list!I21="","전체",신상품list!I21)</f>
        <v/>
      </c>
      <c r="H29" s="72">
        <f>SUMIFS(매출원천!C:C,매출원천!$A:$A,$D29,매출원천!$B:$B,IF($G29="전체","*",$G29))</f>
        <v/>
      </c>
      <c r="I29" s="72">
        <f>SUMIFS(매출원천!D:D,매출원천!$A:$A,$D29,매출원천!$B:$B,IF($G29="전체","*",$G29))</f>
        <v/>
      </c>
      <c r="J29" s="72">
        <f>SUMIFS(매출원천!E:E,매출원천!$A:$A,$D29,매출원천!$B:$B,IF($G29="전체","*",$G29))</f>
        <v/>
      </c>
      <c r="K29" s="72">
        <f>SUMIFS(매출원천!F:F,매출원천!$A:$A,$D29,매출원천!$B:$B,IF($G29="전체","*",$G29))</f>
        <v/>
      </c>
      <c r="L29" s="72">
        <f>SUMIFS(매출원천!G:G,매출원천!$A:$A,$D29,매출원천!$B:$B,IF($G29="전체","*",$G29))</f>
        <v/>
      </c>
      <c r="M29" s="72">
        <f>SUMIFS(매출원천!H:H,매출원천!$A:$A,$D29,매출원천!$B:$B,IF($G29="전체","*",$G29))</f>
        <v/>
      </c>
      <c r="N29" s="72">
        <f>SUMIFS(매출원천!I:I,매출원천!$A:$A,$D29,매출원천!$B:$B,IF($G29="전체","*",$G29))</f>
        <v/>
      </c>
      <c r="O29" s="72">
        <f>SUMIFS(매출원천!J:J,매출원천!$A:$A,$D29,매출원천!$B:$B,IF($G29="전체","*",$G29))</f>
        <v/>
      </c>
      <c r="P29" s="72">
        <f>SUMIFS(매출원천!K:K,매출원천!$A:$A,$D29,매출원천!$B:$B,IF($G29="전체","*",$G29))</f>
        <v/>
      </c>
      <c r="Q29" s="72">
        <f>SUMIFS(매출원천!L:L,매출원천!$A:$A,$D29,매출원천!$B:$B,IF($G29="전체","*",$G29))</f>
        <v/>
      </c>
      <c r="R29" s="52">
        <f>COUNTIF(H29:Q29,"&gt;0")</f>
        <v/>
      </c>
      <c r="S29" s="52">
        <f>IF($F29="",0,(YEAR($D$8)-YEAR($F29))*12+MONTH($D$8)-MONTH($F29)+1)</f>
        <v/>
      </c>
      <c r="T29" s="73">
        <f>MAX(H29:Q29)</f>
        <v/>
      </c>
      <c r="U29" s="73">
        <f>IF($Z29&lt;&gt;"",$Z29,IF($F29&gt;=$D$6,"신상품",IF(AND($R29&lt;=$D$7,$S29&gt;$D$7),"스팟","기존")))</f>
        <v/>
      </c>
      <c r="V29" s="74">
        <f>IF($U29="신상품",IF($F29&lt;=EOMONTH(V$9,0),$D$5,0),IF($U29="스팟",$Q29,$Q29*$D$4))*IF($AB29="",1,$AB29)</f>
        <v/>
      </c>
      <c r="W29" s="74">
        <f>IF($U29="신상품",IF($F29&lt;=EOMONTH(W$9,0),$D$5,0),IF($U29="스팟",0,IF($AA29="월평균",AVERAGEIF($H29:$P29,"&gt;0"),IF($AA29="9월",$P29,IF($AA29="10월",$V29,$T29)))))*IF($AC29="",1,$AC29)</f>
        <v/>
      </c>
      <c r="X29" s="74">
        <f>IF($U29="신상품",IF($F29&lt;=EOMONTH(X$9,0),$D$5,0),IF($U29="스팟",0,IF($AA29="월평균",AVERAGEIF($H29:$P29,"&gt;0"),IF($AA29="9월",$P29,IF($AA29="10월",$V29,$T29)))))</f>
        <v/>
      </c>
      <c r="Y29" s="75">
        <f>SUM(H29:P29)+SUM(V29:X29)</f>
        <v/>
      </c>
      <c r="Z29" s="56" t="n"/>
      <c r="AA29" s="56" t="n"/>
      <c r="AB29" s="57" t="n"/>
      <c r="AC29" s="57" t="n"/>
    </row>
    <row r="30">
      <c r="A30" s="34">
        <f>신상품list!B22</f>
        <v/>
      </c>
      <c r="B30" s="34">
        <f>신상품list!C22</f>
        <v/>
      </c>
      <c r="C30" s="34">
        <f>신상품list!D22</f>
        <v/>
      </c>
      <c r="D30" s="34">
        <f>신상품list!E22&amp;""</f>
        <v/>
      </c>
      <c r="E30" s="34">
        <f>신상품list!F22</f>
        <v/>
      </c>
      <c r="F30" s="35">
        <f>신상품list!H22</f>
        <v/>
      </c>
      <c r="G30" s="51">
        <f>IF(신상품list!I22="","전체",신상품list!I22)</f>
        <v/>
      </c>
      <c r="H30" s="72">
        <f>SUMIFS(매출원천!C:C,매출원천!$A:$A,$D30,매출원천!$B:$B,IF($G30="전체","*",$G30))</f>
        <v/>
      </c>
      <c r="I30" s="72">
        <f>SUMIFS(매출원천!D:D,매출원천!$A:$A,$D30,매출원천!$B:$B,IF($G30="전체","*",$G30))</f>
        <v/>
      </c>
      <c r="J30" s="72">
        <f>SUMIFS(매출원천!E:E,매출원천!$A:$A,$D30,매출원천!$B:$B,IF($G30="전체","*",$G30))</f>
        <v/>
      </c>
      <c r="K30" s="72">
        <f>SUMIFS(매출원천!F:F,매출원천!$A:$A,$D30,매출원천!$B:$B,IF($G30="전체","*",$G30))</f>
        <v/>
      </c>
      <c r="L30" s="72">
        <f>SUMIFS(매출원천!G:G,매출원천!$A:$A,$D30,매출원천!$B:$B,IF($G30="전체","*",$G30))</f>
        <v/>
      </c>
      <c r="M30" s="72">
        <f>SUMIFS(매출원천!H:H,매출원천!$A:$A,$D30,매출원천!$B:$B,IF($G30="전체","*",$G30))</f>
        <v/>
      </c>
      <c r="N30" s="72">
        <f>SUMIFS(매출원천!I:I,매출원천!$A:$A,$D30,매출원천!$B:$B,IF($G30="전체","*",$G30))</f>
        <v/>
      </c>
      <c r="O30" s="72">
        <f>SUMIFS(매출원천!J:J,매출원천!$A:$A,$D30,매출원천!$B:$B,IF($G30="전체","*",$G30))</f>
        <v/>
      </c>
      <c r="P30" s="72">
        <f>SUMIFS(매출원천!K:K,매출원천!$A:$A,$D30,매출원천!$B:$B,IF($G30="전체","*",$G30))</f>
        <v/>
      </c>
      <c r="Q30" s="72">
        <f>SUMIFS(매출원천!L:L,매출원천!$A:$A,$D30,매출원천!$B:$B,IF($G30="전체","*",$G30))</f>
        <v/>
      </c>
      <c r="R30" s="52">
        <f>COUNTIF(H30:Q30,"&gt;0")</f>
        <v/>
      </c>
      <c r="S30" s="52">
        <f>IF($F30="",0,(YEAR($D$8)-YEAR($F30))*12+MONTH($D$8)-MONTH($F30)+1)</f>
        <v/>
      </c>
      <c r="T30" s="73">
        <f>MAX(H30:Q30)</f>
        <v/>
      </c>
      <c r="U30" s="73">
        <f>IF($Z30&lt;&gt;"",$Z30,IF($F30&gt;=$D$6,"신상품",IF(AND($R30&lt;=$D$7,$S30&gt;$D$7),"스팟","기존")))</f>
        <v/>
      </c>
      <c r="V30" s="74">
        <f>IF($U30="신상품",IF($F30&lt;=EOMONTH(V$9,0),$D$5,0),IF($U30="스팟",$Q30,$Q30*$D$4))*IF($AB30="",1,$AB30)</f>
        <v/>
      </c>
      <c r="W30" s="74">
        <f>IF($U30="신상품",IF($F30&lt;=EOMONTH(W$9,0),$D$5,0),IF($U30="스팟",0,IF($AA30="월평균",AVERAGEIF($H30:$P30,"&gt;0"),IF($AA30="9월",$P30,IF($AA30="10월",$V30,$T30)))))*IF($AC30="",1,$AC30)</f>
        <v/>
      </c>
      <c r="X30" s="74">
        <f>IF($U30="신상품",IF($F30&lt;=EOMONTH(X$9,0),$D$5,0),IF($U30="스팟",0,IF($AA30="월평균",AVERAGEIF($H30:$P30,"&gt;0"),IF($AA30="9월",$P30,IF($AA30="10월",$V30,$T30)))))</f>
        <v/>
      </c>
      <c r="Y30" s="75">
        <f>SUM(H30:P30)+SUM(V30:X30)</f>
        <v/>
      </c>
      <c r="Z30" s="56" t="n"/>
      <c r="AA30" s="56" t="n"/>
      <c r="AB30" s="57" t="n"/>
      <c r="AC30" s="57" t="n"/>
    </row>
    <row r="31" hidden="1" s="60">
      <c r="A31" s="34">
        <f>신상품list!B23</f>
        <v/>
      </c>
      <c r="B31" s="34">
        <f>신상품list!C23</f>
        <v/>
      </c>
      <c r="C31" s="34">
        <f>신상품list!D23</f>
        <v/>
      </c>
      <c r="D31" s="34">
        <f>신상품list!E23&amp;""</f>
        <v/>
      </c>
      <c r="E31" s="34">
        <f>신상품list!F23</f>
        <v/>
      </c>
      <c r="F31" s="35">
        <f>신상품list!H23</f>
        <v/>
      </c>
      <c r="G31" s="51">
        <f>IF(신상품list!I23="","전체",신상품list!I23)</f>
        <v/>
      </c>
      <c r="H31" s="72">
        <f>SUMIFS(매출원천!C:C,매출원천!$A:$A,$D31,매출원천!$B:$B,IF($G31="전체","*",$G31))</f>
        <v/>
      </c>
      <c r="I31" s="72">
        <f>SUMIFS(매출원천!D:D,매출원천!$A:$A,$D31,매출원천!$B:$B,IF($G31="전체","*",$G31))</f>
        <v/>
      </c>
      <c r="J31" s="72">
        <f>SUMIFS(매출원천!E:E,매출원천!$A:$A,$D31,매출원천!$B:$B,IF($G31="전체","*",$G31))</f>
        <v/>
      </c>
      <c r="K31" s="72">
        <f>SUMIFS(매출원천!F:F,매출원천!$A:$A,$D31,매출원천!$B:$B,IF($G31="전체","*",$G31))</f>
        <v/>
      </c>
      <c r="L31" s="72">
        <f>SUMIFS(매출원천!G:G,매출원천!$A:$A,$D31,매출원천!$B:$B,IF($G31="전체","*",$G31))</f>
        <v/>
      </c>
      <c r="M31" s="72">
        <f>SUMIFS(매출원천!H:H,매출원천!$A:$A,$D31,매출원천!$B:$B,IF($G31="전체","*",$G31))</f>
        <v/>
      </c>
      <c r="N31" s="72">
        <f>SUMIFS(매출원천!I:I,매출원천!$A:$A,$D31,매출원천!$B:$B,IF($G31="전체","*",$G31))</f>
        <v/>
      </c>
      <c r="O31" s="72">
        <f>SUMIFS(매출원천!J:J,매출원천!$A:$A,$D31,매출원천!$B:$B,IF($G31="전체","*",$G31))</f>
        <v/>
      </c>
      <c r="P31" s="72">
        <f>SUMIFS(매출원천!K:K,매출원천!$A:$A,$D31,매출원천!$B:$B,IF($G31="전체","*",$G31))</f>
        <v/>
      </c>
      <c r="Q31" s="72">
        <f>SUMIFS(매출원천!L:L,매출원천!$A:$A,$D31,매출원천!$B:$B,IF($G31="전체","*",$G31))</f>
        <v/>
      </c>
      <c r="R31" s="52">
        <f>COUNTIF(H31:Q31,"&gt;0")</f>
        <v/>
      </c>
      <c r="S31" s="52">
        <f>IF($F31="",0,(YEAR($D$8)-YEAR($F31))*12+MONTH($D$8)-MONTH($F31)+1)</f>
        <v/>
      </c>
      <c r="T31" s="73">
        <f>MAX(H31:Q31)</f>
        <v/>
      </c>
      <c r="U31" s="73">
        <f>IF($Z31&lt;&gt;"",$Z31,IF($F31&gt;=$D$6,"신상품",IF(AND($R31&lt;=$D$7,$S31&gt;$D$7),"스팟","기존")))</f>
        <v/>
      </c>
      <c r="V31" s="74">
        <f>IF($U31="신상품",IF($F31&lt;=EOMONTH(V$9,0),$D$5,0),IF($U31="스팟",$Q31,$Q31*$D$4))*IF($AB31="",1,$AB31)</f>
        <v/>
      </c>
      <c r="W31" s="74">
        <f>IF($U31="신상품",IF($F31&lt;=EOMONTH(W$9,0),$D$5,0),IF($U31="스팟",0,IF($AA31="월평균",AVERAGEIF($H31:$P31,"&gt;0"),IF($AA31="9월",$P31,IF($AA31="10월",$V31,$T31)))))*IF($AC31="",1,$AC31)</f>
        <v/>
      </c>
      <c r="X31" s="74">
        <f>IF($U31="신상품",IF($F31&lt;=EOMONTH(X$9,0),$D$5,0),IF($U31="스팟",0,IF($AA31="월평균",AVERAGEIF($H31:$P31,"&gt;0"),IF($AA31="9월",$P31,IF($AA31="10월",$V31,$T31)))))</f>
        <v/>
      </c>
      <c r="Y31" s="75">
        <f>SUM(H31:P31)+SUM(V31:X31)</f>
        <v/>
      </c>
      <c r="Z31" s="56" t="n"/>
      <c r="AA31" s="56" t="n"/>
      <c r="AB31" s="57" t="n"/>
      <c r="AC31" s="57" t="n"/>
    </row>
    <row r="32" hidden="1" s="60">
      <c r="A32" s="34">
        <f>신상품list!B24</f>
        <v/>
      </c>
      <c r="B32" s="34">
        <f>신상품list!C24</f>
        <v/>
      </c>
      <c r="C32" s="34">
        <f>신상품list!D24</f>
        <v/>
      </c>
      <c r="D32" s="34">
        <f>신상품list!E24&amp;""</f>
        <v/>
      </c>
      <c r="E32" s="34">
        <f>신상품list!F24</f>
        <v/>
      </c>
      <c r="F32" s="35">
        <f>신상품list!H24</f>
        <v/>
      </c>
      <c r="G32" s="51">
        <f>IF(신상품list!I24="","전체",신상품list!I24)</f>
        <v/>
      </c>
      <c r="H32" s="72">
        <f>SUMIFS(매출원천!C:C,매출원천!$A:$A,$D32,매출원천!$B:$B,IF($G32="전체","*",$G32))</f>
        <v/>
      </c>
      <c r="I32" s="72">
        <f>SUMIFS(매출원천!D:D,매출원천!$A:$A,$D32,매출원천!$B:$B,IF($G32="전체","*",$G32))</f>
        <v/>
      </c>
      <c r="J32" s="72">
        <f>SUMIFS(매출원천!E:E,매출원천!$A:$A,$D32,매출원천!$B:$B,IF($G32="전체","*",$G32))</f>
        <v/>
      </c>
      <c r="K32" s="72">
        <f>SUMIFS(매출원천!F:F,매출원천!$A:$A,$D32,매출원천!$B:$B,IF($G32="전체","*",$G32))</f>
        <v/>
      </c>
      <c r="L32" s="72">
        <f>SUMIFS(매출원천!G:G,매출원천!$A:$A,$D32,매출원천!$B:$B,IF($G32="전체","*",$G32))</f>
        <v/>
      </c>
      <c r="M32" s="72">
        <f>SUMIFS(매출원천!H:H,매출원천!$A:$A,$D32,매출원천!$B:$B,IF($G32="전체","*",$G32))</f>
        <v/>
      </c>
      <c r="N32" s="72">
        <f>SUMIFS(매출원천!I:I,매출원천!$A:$A,$D32,매출원천!$B:$B,IF($G32="전체","*",$G32))</f>
        <v/>
      </c>
      <c r="O32" s="72">
        <f>SUMIFS(매출원천!J:J,매출원천!$A:$A,$D32,매출원천!$B:$B,IF($G32="전체","*",$G32))</f>
        <v/>
      </c>
      <c r="P32" s="72">
        <f>SUMIFS(매출원천!K:K,매출원천!$A:$A,$D32,매출원천!$B:$B,IF($G32="전체","*",$G32))</f>
        <v/>
      </c>
      <c r="Q32" s="72">
        <f>SUMIFS(매출원천!L:L,매출원천!$A:$A,$D32,매출원천!$B:$B,IF($G32="전체","*",$G32))</f>
        <v/>
      </c>
      <c r="R32" s="52">
        <f>COUNTIF(H32:Q32,"&gt;0")</f>
        <v/>
      </c>
      <c r="S32" s="52">
        <f>IF($F32="",0,(YEAR($D$8)-YEAR($F32))*12+MONTH($D$8)-MONTH($F32)+1)</f>
        <v/>
      </c>
      <c r="T32" s="73">
        <f>MAX(H32:Q32)</f>
        <v/>
      </c>
      <c r="U32" s="73">
        <f>IF($Z32&lt;&gt;"",$Z32,IF($F32&gt;=$D$6,"신상품",IF(AND($R32&lt;=$D$7,$S32&gt;$D$7),"스팟","기존")))</f>
        <v/>
      </c>
      <c r="V32" s="74">
        <f>IF($U32="신상품",IF($F32&lt;=EOMONTH(V$9,0),$D$5,0),IF($U32="스팟",$Q32,$Q32*$D$4))*IF($AB32="",1,$AB32)</f>
        <v/>
      </c>
      <c r="W32" s="74">
        <f>IF($U32="신상품",IF($F32&lt;=EOMONTH(W$9,0),$D$5,0),IF($U32="스팟",0,IF($AA32="월평균",AVERAGEIF($H32:$P32,"&gt;0"),IF($AA32="9월",$P32,IF($AA32="10월",$V32,$T32)))))*IF($AC32="",1,$AC32)</f>
        <v/>
      </c>
      <c r="X32" s="74">
        <f>IF($U32="신상품",IF($F32&lt;=EOMONTH(X$9,0),$D$5,0),IF($U32="스팟",0,IF($AA32="월평균",AVERAGEIF($H32:$P32,"&gt;0"),IF($AA32="9월",$P32,IF($AA32="10월",$V32,$T32)))))</f>
        <v/>
      </c>
      <c r="Y32" s="75">
        <f>SUM(H32:P32)+SUM(V32:X32)</f>
        <v/>
      </c>
      <c r="Z32" s="56" t="n"/>
      <c r="AA32" s="56" t="n"/>
      <c r="AB32" s="57" t="n"/>
      <c r="AC32" s="57" t="n"/>
    </row>
    <row r="33">
      <c r="A33" s="34">
        <f>신상품list!B25</f>
        <v/>
      </c>
      <c r="B33" s="34">
        <f>신상품list!C25</f>
        <v/>
      </c>
      <c r="C33" s="34">
        <f>신상품list!D25</f>
        <v/>
      </c>
      <c r="D33" s="34">
        <f>신상품list!E25&amp;""</f>
        <v/>
      </c>
      <c r="E33" s="34">
        <f>신상품list!F25</f>
        <v/>
      </c>
      <c r="F33" s="35">
        <f>신상품list!H25</f>
        <v/>
      </c>
      <c r="G33" s="51">
        <f>IF(신상품list!I25="","전체",신상품list!I25)</f>
        <v/>
      </c>
      <c r="H33" s="72">
        <f>SUMIFS(매출원천!C:C,매출원천!$A:$A,$D33,매출원천!$B:$B,IF($G33="전체","*",$G33))</f>
        <v/>
      </c>
      <c r="I33" s="72">
        <f>SUMIFS(매출원천!D:D,매출원천!$A:$A,$D33,매출원천!$B:$B,IF($G33="전체","*",$G33))</f>
        <v/>
      </c>
      <c r="J33" s="72">
        <f>SUMIFS(매출원천!E:E,매출원천!$A:$A,$D33,매출원천!$B:$B,IF($G33="전체","*",$G33))</f>
        <v/>
      </c>
      <c r="K33" s="72">
        <f>SUMIFS(매출원천!F:F,매출원천!$A:$A,$D33,매출원천!$B:$B,IF($G33="전체","*",$G33))</f>
        <v/>
      </c>
      <c r="L33" s="72">
        <f>SUMIFS(매출원천!G:G,매출원천!$A:$A,$D33,매출원천!$B:$B,IF($G33="전체","*",$G33))</f>
        <v/>
      </c>
      <c r="M33" s="72">
        <f>SUMIFS(매출원천!H:H,매출원천!$A:$A,$D33,매출원천!$B:$B,IF($G33="전체","*",$G33))</f>
        <v/>
      </c>
      <c r="N33" s="72">
        <f>SUMIFS(매출원천!I:I,매출원천!$A:$A,$D33,매출원천!$B:$B,IF($G33="전체","*",$G33))</f>
        <v/>
      </c>
      <c r="O33" s="72">
        <f>SUMIFS(매출원천!J:J,매출원천!$A:$A,$D33,매출원천!$B:$B,IF($G33="전체","*",$G33))</f>
        <v/>
      </c>
      <c r="P33" s="72">
        <f>SUMIFS(매출원천!K:K,매출원천!$A:$A,$D33,매출원천!$B:$B,IF($G33="전체","*",$G33))</f>
        <v/>
      </c>
      <c r="Q33" s="72">
        <f>SUMIFS(매출원천!L:L,매출원천!$A:$A,$D33,매출원천!$B:$B,IF($G33="전체","*",$G33))</f>
        <v/>
      </c>
      <c r="R33" s="52">
        <f>COUNTIF(H33:Q33,"&gt;0")</f>
        <v/>
      </c>
      <c r="S33" s="52">
        <f>IF($F33="",0,(YEAR($D$8)-YEAR($F33))*12+MONTH($D$8)-MONTH($F33)+1)</f>
        <v/>
      </c>
      <c r="T33" s="73">
        <f>MAX(H33:Q33)</f>
        <v/>
      </c>
      <c r="U33" s="73">
        <f>IF($Z33&lt;&gt;"",$Z33,IF($F33&gt;=$D$6,"신상품",IF(AND($R33&lt;=$D$7,$S33&gt;$D$7),"스팟","기존")))</f>
        <v/>
      </c>
      <c r="V33" s="74">
        <f>IF($U33="신상품",IF($F33&lt;=EOMONTH(V$9,0),$D$5,0),IF($U33="스팟",$Q33,$Q33*$D$4))*IF($AB33="",1,$AB33)</f>
        <v/>
      </c>
      <c r="W33" s="74">
        <f>IF($U33="신상품",IF($F33&lt;=EOMONTH(W$9,0),$D$5,0),IF($U33="스팟",0,IF($AA33="월평균",AVERAGEIF($H33:$P33,"&gt;0"),IF($AA33="9월",$P33,IF($AA33="10월",$V33,$T33)))))*IF($AC33="",1,$AC33)</f>
        <v/>
      </c>
      <c r="X33" s="74">
        <f>IF($U33="신상품",IF($F33&lt;=EOMONTH(X$9,0),$D$5,0),IF($U33="스팟",0,IF($AA33="월평균",AVERAGEIF($H33:$P33,"&gt;0"),IF($AA33="9월",$P33,IF($AA33="10월",$V33,$T33)))))</f>
        <v/>
      </c>
      <c r="Y33" s="75">
        <f>SUM(H33:P33)+SUM(V33:X33)</f>
        <v/>
      </c>
      <c r="Z33" s="56" t="n"/>
      <c r="AA33" s="56" t="n"/>
      <c r="AB33" s="57" t="n"/>
      <c r="AC33" s="57" t="n"/>
    </row>
    <row r="34">
      <c r="A34" s="34">
        <f>신상품list!B26</f>
        <v/>
      </c>
      <c r="B34" s="34">
        <f>신상품list!C26</f>
        <v/>
      </c>
      <c r="C34" s="34">
        <f>신상품list!D26</f>
        <v/>
      </c>
      <c r="D34" s="34">
        <f>신상품list!E26&amp;""</f>
        <v/>
      </c>
      <c r="E34" s="34">
        <f>신상품list!F26</f>
        <v/>
      </c>
      <c r="F34" s="35">
        <f>신상품list!H26</f>
        <v/>
      </c>
      <c r="G34" s="51">
        <f>IF(신상품list!I26="","전체",신상품list!I26)</f>
        <v/>
      </c>
      <c r="H34" s="72">
        <f>SUMIFS(매출원천!C:C,매출원천!$A:$A,$D34,매출원천!$B:$B,IF($G34="전체","*",$G34))</f>
        <v/>
      </c>
      <c r="I34" s="72">
        <f>SUMIFS(매출원천!D:D,매출원천!$A:$A,$D34,매출원천!$B:$B,IF($G34="전체","*",$G34))</f>
        <v/>
      </c>
      <c r="J34" s="72">
        <f>SUMIFS(매출원천!E:E,매출원천!$A:$A,$D34,매출원천!$B:$B,IF($G34="전체","*",$G34))</f>
        <v/>
      </c>
      <c r="K34" s="72">
        <f>SUMIFS(매출원천!F:F,매출원천!$A:$A,$D34,매출원천!$B:$B,IF($G34="전체","*",$G34))</f>
        <v/>
      </c>
      <c r="L34" s="72">
        <f>SUMIFS(매출원천!G:G,매출원천!$A:$A,$D34,매출원천!$B:$B,IF($G34="전체","*",$G34))</f>
        <v/>
      </c>
      <c r="M34" s="72">
        <f>SUMIFS(매출원천!H:H,매출원천!$A:$A,$D34,매출원천!$B:$B,IF($G34="전체","*",$G34))</f>
        <v/>
      </c>
      <c r="N34" s="72">
        <f>SUMIFS(매출원천!I:I,매출원천!$A:$A,$D34,매출원천!$B:$B,IF($G34="전체","*",$G34))</f>
        <v/>
      </c>
      <c r="O34" s="72">
        <f>SUMIFS(매출원천!J:J,매출원천!$A:$A,$D34,매출원천!$B:$B,IF($G34="전체","*",$G34))</f>
        <v/>
      </c>
      <c r="P34" s="72">
        <f>SUMIFS(매출원천!K:K,매출원천!$A:$A,$D34,매출원천!$B:$B,IF($G34="전체","*",$G34))</f>
        <v/>
      </c>
      <c r="Q34" s="72">
        <f>SUMIFS(매출원천!L:L,매출원천!$A:$A,$D34,매출원천!$B:$B,IF($G34="전체","*",$G34))</f>
        <v/>
      </c>
      <c r="R34" s="52">
        <f>COUNTIF(H34:Q34,"&gt;0")</f>
        <v/>
      </c>
      <c r="S34" s="52">
        <f>IF($F34="",0,(YEAR($D$8)-YEAR($F34))*12+MONTH($D$8)-MONTH($F34)+1)</f>
        <v/>
      </c>
      <c r="T34" s="73">
        <f>MAX(H34:Q34)</f>
        <v/>
      </c>
      <c r="U34" s="73">
        <f>IF($Z34&lt;&gt;"",$Z34,IF($F34&gt;=$D$6,"신상품",IF(AND($R34&lt;=$D$7,$S34&gt;$D$7),"스팟","기존")))</f>
        <v/>
      </c>
      <c r="V34" s="74">
        <f>IF($U34="신상품",IF($F34&lt;=EOMONTH(V$9,0),$D$5,0),IF($U34="스팟",$Q34,$Q34*$D$4))*IF($AB34="",1,$AB34)</f>
        <v/>
      </c>
      <c r="W34" s="74">
        <f>IF($U34="신상품",IF($F34&lt;=EOMONTH(W$9,0),$D$5,0),IF($U34="스팟",0,IF($AA34="월평균",AVERAGEIF($H34:$P34,"&gt;0"),IF($AA34="9월",$P34,IF($AA34="10월",$V34,$T34)))))*IF($AC34="",1,$AC34)</f>
        <v/>
      </c>
      <c r="X34" s="74">
        <f>IF($U34="신상품",IF($F34&lt;=EOMONTH(X$9,0),$D$5,0),IF($U34="스팟",0,IF($AA34="월평균",AVERAGEIF($H34:$P34,"&gt;0"),IF($AA34="9월",$P34,IF($AA34="10월",$V34,$T34)))))</f>
        <v/>
      </c>
      <c r="Y34" s="75">
        <f>SUM(H34:P34)+SUM(V34:X34)</f>
        <v/>
      </c>
      <c r="Z34" s="56" t="n"/>
      <c r="AA34" s="56" t="n"/>
      <c r="AB34" s="57" t="n"/>
      <c r="AC34" s="57" t="n"/>
    </row>
    <row r="35">
      <c r="A35" s="34">
        <f>신상품list!B27</f>
        <v/>
      </c>
      <c r="B35" s="34">
        <f>신상품list!C27</f>
        <v/>
      </c>
      <c r="C35" s="34">
        <f>신상품list!D27</f>
        <v/>
      </c>
      <c r="D35" s="34">
        <f>신상품list!E27&amp;""</f>
        <v/>
      </c>
      <c r="E35" s="34">
        <f>신상품list!F27</f>
        <v/>
      </c>
      <c r="F35" s="35">
        <f>신상품list!H27</f>
        <v/>
      </c>
      <c r="G35" s="51">
        <f>IF(신상품list!I27="","전체",신상품list!I27)</f>
        <v/>
      </c>
      <c r="H35" s="72">
        <f>SUMIFS(매출원천!C:C,매출원천!$A:$A,$D35,매출원천!$B:$B,IF($G35="전체","*",$G35))</f>
        <v/>
      </c>
      <c r="I35" s="72">
        <f>SUMIFS(매출원천!D:D,매출원천!$A:$A,$D35,매출원천!$B:$B,IF($G35="전체","*",$G35))</f>
        <v/>
      </c>
      <c r="J35" s="72">
        <f>SUMIFS(매출원천!E:E,매출원천!$A:$A,$D35,매출원천!$B:$B,IF($G35="전체","*",$G35))</f>
        <v/>
      </c>
      <c r="K35" s="72">
        <f>SUMIFS(매출원천!F:F,매출원천!$A:$A,$D35,매출원천!$B:$B,IF($G35="전체","*",$G35))</f>
        <v/>
      </c>
      <c r="L35" s="72">
        <f>SUMIFS(매출원천!G:G,매출원천!$A:$A,$D35,매출원천!$B:$B,IF($G35="전체","*",$G35))</f>
        <v/>
      </c>
      <c r="M35" s="72">
        <f>SUMIFS(매출원천!H:H,매출원천!$A:$A,$D35,매출원천!$B:$B,IF($G35="전체","*",$G35))</f>
        <v/>
      </c>
      <c r="N35" s="72">
        <f>SUMIFS(매출원천!I:I,매출원천!$A:$A,$D35,매출원천!$B:$B,IF($G35="전체","*",$G35))</f>
        <v/>
      </c>
      <c r="O35" s="72">
        <f>SUMIFS(매출원천!J:J,매출원천!$A:$A,$D35,매출원천!$B:$B,IF($G35="전체","*",$G35))</f>
        <v/>
      </c>
      <c r="P35" s="72">
        <f>SUMIFS(매출원천!K:K,매출원천!$A:$A,$D35,매출원천!$B:$B,IF($G35="전체","*",$G35))</f>
        <v/>
      </c>
      <c r="Q35" s="72">
        <f>SUMIFS(매출원천!L:L,매출원천!$A:$A,$D35,매출원천!$B:$B,IF($G35="전체","*",$G35))</f>
        <v/>
      </c>
      <c r="R35" s="52">
        <f>COUNTIF(H35:Q35,"&gt;0")</f>
        <v/>
      </c>
      <c r="S35" s="52">
        <f>IF($F35="",0,(YEAR($D$8)-YEAR($F35))*12+MONTH($D$8)-MONTH($F35)+1)</f>
        <v/>
      </c>
      <c r="T35" s="73">
        <f>MAX(H35:Q35)</f>
        <v/>
      </c>
      <c r="U35" s="73">
        <f>IF($Z35&lt;&gt;"",$Z35,IF($F35&gt;=$D$6,"신상품",IF(AND($R35&lt;=$D$7,$S35&gt;$D$7),"스팟","기존")))</f>
        <v/>
      </c>
      <c r="V35" s="74">
        <f>IF($U35="신상품",IF($F35&lt;=EOMONTH(V$9,0),$D$5,0),IF($U35="스팟",$Q35,$Q35*$D$4))*IF($AB35="",1,$AB35)</f>
        <v/>
      </c>
      <c r="W35" s="74">
        <f>IF($U35="신상품",IF($F35&lt;=EOMONTH(W$9,0),$D$5,0),IF($U35="스팟",0,IF($AA35="월평균",AVERAGEIF($H35:$P35,"&gt;0"),IF($AA35="9월",$P35,IF($AA35="10월",$V35,$T35)))))*IF($AC35="",1,$AC35)</f>
        <v/>
      </c>
      <c r="X35" s="74">
        <f>IF($U35="신상품",IF($F35&lt;=EOMONTH(X$9,0),$D$5,0),IF($U35="스팟",0,IF($AA35="월평균",AVERAGEIF($H35:$P35,"&gt;0"),IF($AA35="9월",$P35,IF($AA35="10월",$V35,$T35)))))</f>
        <v/>
      </c>
      <c r="Y35" s="75">
        <f>SUM(H35:P35)+SUM(V35:X35)</f>
        <v/>
      </c>
      <c r="Z35" s="56" t="n"/>
      <c r="AA35" s="56" t="n"/>
      <c r="AB35" s="57" t="n"/>
      <c r="AC35" s="57" t="n"/>
    </row>
    <row r="36">
      <c r="A36" s="34">
        <f>신상품list!B28</f>
        <v/>
      </c>
      <c r="B36" s="34">
        <f>신상품list!C28</f>
        <v/>
      </c>
      <c r="C36" s="34">
        <f>신상품list!D28</f>
        <v/>
      </c>
      <c r="D36" s="34">
        <f>신상품list!E28&amp;""</f>
        <v/>
      </c>
      <c r="E36" s="34">
        <f>신상품list!F28</f>
        <v/>
      </c>
      <c r="F36" s="35">
        <f>신상품list!H28</f>
        <v/>
      </c>
      <c r="G36" s="51">
        <f>IF(신상품list!I28="","전체",신상품list!I28)</f>
        <v/>
      </c>
      <c r="H36" s="72">
        <f>SUMIFS(매출원천!C:C,매출원천!$A:$A,$D36,매출원천!$B:$B,IF($G36="전체","*",$G36))</f>
        <v/>
      </c>
      <c r="I36" s="72">
        <f>SUMIFS(매출원천!D:D,매출원천!$A:$A,$D36,매출원천!$B:$B,IF($G36="전체","*",$G36))</f>
        <v/>
      </c>
      <c r="J36" s="72">
        <f>SUMIFS(매출원천!E:E,매출원천!$A:$A,$D36,매출원천!$B:$B,IF($G36="전체","*",$G36))</f>
        <v/>
      </c>
      <c r="K36" s="72">
        <f>SUMIFS(매출원천!F:F,매출원천!$A:$A,$D36,매출원천!$B:$B,IF($G36="전체","*",$G36))</f>
        <v/>
      </c>
      <c r="L36" s="72">
        <f>SUMIFS(매출원천!G:G,매출원천!$A:$A,$D36,매출원천!$B:$B,IF($G36="전체","*",$G36))</f>
        <v/>
      </c>
      <c r="M36" s="72">
        <f>SUMIFS(매출원천!H:H,매출원천!$A:$A,$D36,매출원천!$B:$B,IF($G36="전체","*",$G36))</f>
        <v/>
      </c>
      <c r="N36" s="72">
        <f>SUMIFS(매출원천!I:I,매출원천!$A:$A,$D36,매출원천!$B:$B,IF($G36="전체","*",$G36))</f>
        <v/>
      </c>
      <c r="O36" s="72">
        <f>SUMIFS(매출원천!J:J,매출원천!$A:$A,$D36,매출원천!$B:$B,IF($G36="전체","*",$G36))</f>
        <v/>
      </c>
      <c r="P36" s="72">
        <f>SUMIFS(매출원천!K:K,매출원천!$A:$A,$D36,매출원천!$B:$B,IF($G36="전체","*",$G36))</f>
        <v/>
      </c>
      <c r="Q36" s="72">
        <f>SUMIFS(매출원천!L:L,매출원천!$A:$A,$D36,매출원천!$B:$B,IF($G36="전체","*",$G36))</f>
        <v/>
      </c>
      <c r="R36" s="52">
        <f>COUNTIF(H36:Q36,"&gt;0")</f>
        <v/>
      </c>
      <c r="S36" s="52">
        <f>IF($F36="",0,(YEAR($D$8)-YEAR($F36))*12+MONTH($D$8)-MONTH($F36)+1)</f>
        <v/>
      </c>
      <c r="T36" s="73">
        <f>MAX(H36:Q36)</f>
        <v/>
      </c>
      <c r="U36" s="73">
        <f>IF($Z36&lt;&gt;"",$Z36,IF($F36&gt;=$D$6,"신상품",IF(AND($R36&lt;=$D$7,$S36&gt;$D$7),"스팟","기존")))</f>
        <v/>
      </c>
      <c r="V36" s="74">
        <f>IF($U36="신상품",IF($F36&lt;=EOMONTH(V$9,0),$D$5,0),IF($U36="스팟",$Q36,$Q36*$D$4))*IF($AB36="",1,$AB36)</f>
        <v/>
      </c>
      <c r="W36" s="74">
        <f>IF($U36="신상품",IF($F36&lt;=EOMONTH(W$9,0),$D$5,0),IF($U36="스팟",0,IF($AA36="월평균",AVERAGEIF($H36:$P36,"&gt;0"),IF($AA36="9월",$P36,IF($AA36="10월",$V36,$T36)))))*IF($AC36="",1,$AC36)</f>
        <v/>
      </c>
      <c r="X36" s="74">
        <f>IF($U36="신상품",IF($F36&lt;=EOMONTH(X$9,0),$D$5,0),IF($U36="스팟",0,IF($AA36="월평균",AVERAGEIF($H36:$P36,"&gt;0"),IF($AA36="9월",$P36,IF($AA36="10월",$V36,$T36)))))</f>
        <v/>
      </c>
      <c r="Y36" s="75">
        <f>SUM(H36:P36)+SUM(V36:X36)</f>
        <v/>
      </c>
      <c r="Z36" s="56" t="n"/>
      <c r="AA36" s="56" t="n"/>
      <c r="AB36" s="57" t="n"/>
      <c r="AC36" s="57" t="n"/>
    </row>
    <row r="37" hidden="1" s="60">
      <c r="A37" s="34">
        <f>신상품list!B29</f>
        <v/>
      </c>
      <c r="B37" s="34">
        <f>신상품list!C29</f>
        <v/>
      </c>
      <c r="C37" s="34">
        <f>신상품list!D29</f>
        <v/>
      </c>
      <c r="D37" s="34">
        <f>신상품list!E29&amp;""</f>
        <v/>
      </c>
      <c r="E37" s="34">
        <f>신상품list!F29</f>
        <v/>
      </c>
      <c r="F37" s="35">
        <f>신상품list!H29</f>
        <v/>
      </c>
      <c r="G37" s="51">
        <f>IF(신상품list!I29="","전체",신상품list!I29)</f>
        <v/>
      </c>
      <c r="H37" s="72">
        <f>SUMIFS(매출원천!C:C,매출원천!$A:$A,$D37,매출원천!$B:$B,IF($G37="전체","*",$G37))</f>
        <v/>
      </c>
      <c r="I37" s="72">
        <f>SUMIFS(매출원천!D:D,매출원천!$A:$A,$D37,매출원천!$B:$B,IF($G37="전체","*",$G37))</f>
        <v/>
      </c>
      <c r="J37" s="72">
        <f>SUMIFS(매출원천!E:E,매출원천!$A:$A,$D37,매출원천!$B:$B,IF($G37="전체","*",$G37))</f>
        <v/>
      </c>
      <c r="K37" s="72">
        <f>SUMIFS(매출원천!F:F,매출원천!$A:$A,$D37,매출원천!$B:$B,IF($G37="전체","*",$G37))</f>
        <v/>
      </c>
      <c r="L37" s="72">
        <f>SUMIFS(매출원천!G:G,매출원천!$A:$A,$D37,매출원천!$B:$B,IF($G37="전체","*",$G37))</f>
        <v/>
      </c>
      <c r="M37" s="72">
        <f>SUMIFS(매출원천!H:H,매출원천!$A:$A,$D37,매출원천!$B:$B,IF($G37="전체","*",$G37))</f>
        <v/>
      </c>
      <c r="N37" s="72">
        <f>SUMIFS(매출원천!I:I,매출원천!$A:$A,$D37,매출원천!$B:$B,IF($G37="전체","*",$G37))</f>
        <v/>
      </c>
      <c r="O37" s="72">
        <f>SUMIFS(매출원천!J:J,매출원천!$A:$A,$D37,매출원천!$B:$B,IF($G37="전체","*",$G37))</f>
        <v/>
      </c>
      <c r="P37" s="72">
        <f>SUMIFS(매출원천!K:K,매출원천!$A:$A,$D37,매출원천!$B:$B,IF($G37="전체","*",$G37))</f>
        <v/>
      </c>
      <c r="Q37" s="72">
        <f>SUMIFS(매출원천!L:L,매출원천!$A:$A,$D37,매출원천!$B:$B,IF($G37="전체","*",$G37))</f>
        <v/>
      </c>
      <c r="R37" s="52">
        <f>COUNTIF(H37:Q37,"&gt;0")</f>
        <v/>
      </c>
      <c r="S37" s="52">
        <f>IF($F37="",0,(YEAR($D$8)-YEAR($F37))*12+MONTH($D$8)-MONTH($F37)+1)</f>
        <v/>
      </c>
      <c r="T37" s="73">
        <f>MAX(H37:Q37)</f>
        <v/>
      </c>
      <c r="U37" s="73">
        <f>IF($Z37&lt;&gt;"",$Z37,IF($F37&gt;=$D$6,"신상품",IF(AND($R37&lt;=$D$7,$S37&gt;$D$7),"스팟","기존")))</f>
        <v/>
      </c>
      <c r="V37" s="74">
        <f>IF($U37="신상품",IF($F37&lt;=EOMONTH(V$9,0),$D$5,0),IF($U37="스팟",$Q37,$Q37*$D$4))*IF($AB37="",1,$AB37)</f>
        <v/>
      </c>
      <c r="W37" s="74">
        <f>IF($U37="신상품",IF($F37&lt;=EOMONTH(W$9,0),$D$5,0),IF($U37="스팟",0,IF($AA37="월평균",AVERAGEIF($H37:$P37,"&gt;0"),IF($AA37="9월",$P37,IF($AA37="10월",$V37,$T37)))))*IF($AC37="",1,$AC37)</f>
        <v/>
      </c>
      <c r="X37" s="74">
        <f>IF($U37="신상품",IF($F37&lt;=EOMONTH(X$9,0),$D$5,0),IF($U37="스팟",0,IF($AA37="월평균",AVERAGEIF($H37:$P37,"&gt;0"),IF($AA37="9월",$P37,IF($AA37="10월",$V37,$T37)))))</f>
        <v/>
      </c>
      <c r="Y37" s="75">
        <f>SUM(H37:P37)+SUM(V37:X37)</f>
        <v/>
      </c>
      <c r="Z37" s="56" t="n"/>
      <c r="AA37" s="56" t="n"/>
      <c r="AB37" s="57" t="n"/>
      <c r="AC37" s="57" t="n"/>
    </row>
    <row r="38" hidden="1" s="60">
      <c r="A38" s="34">
        <f>신상품list!B30</f>
        <v/>
      </c>
      <c r="B38" s="34">
        <f>신상품list!C30</f>
        <v/>
      </c>
      <c r="C38" s="34">
        <f>신상품list!D30</f>
        <v/>
      </c>
      <c r="D38" s="34">
        <f>신상품list!E30&amp;""</f>
        <v/>
      </c>
      <c r="E38" s="34">
        <f>신상품list!F30</f>
        <v/>
      </c>
      <c r="F38" s="35">
        <f>신상품list!H30</f>
        <v/>
      </c>
      <c r="G38" s="51">
        <f>IF(신상품list!I30="","전체",신상품list!I30)</f>
        <v/>
      </c>
      <c r="H38" s="72">
        <f>SUMIFS(매출원천!C:C,매출원천!$A:$A,$D38,매출원천!$B:$B,IF($G38="전체","*",$G38))</f>
        <v/>
      </c>
      <c r="I38" s="72">
        <f>SUMIFS(매출원천!D:D,매출원천!$A:$A,$D38,매출원천!$B:$B,IF($G38="전체","*",$G38))</f>
        <v/>
      </c>
      <c r="J38" s="72">
        <f>SUMIFS(매출원천!E:E,매출원천!$A:$A,$D38,매출원천!$B:$B,IF($G38="전체","*",$G38))</f>
        <v/>
      </c>
      <c r="K38" s="72">
        <f>SUMIFS(매출원천!F:F,매출원천!$A:$A,$D38,매출원천!$B:$B,IF($G38="전체","*",$G38))</f>
        <v/>
      </c>
      <c r="L38" s="72">
        <f>SUMIFS(매출원천!G:G,매출원천!$A:$A,$D38,매출원천!$B:$B,IF($G38="전체","*",$G38))</f>
        <v/>
      </c>
      <c r="M38" s="72">
        <f>SUMIFS(매출원천!H:H,매출원천!$A:$A,$D38,매출원천!$B:$B,IF($G38="전체","*",$G38))</f>
        <v/>
      </c>
      <c r="N38" s="72">
        <f>SUMIFS(매출원천!I:I,매출원천!$A:$A,$D38,매출원천!$B:$B,IF($G38="전체","*",$G38))</f>
        <v/>
      </c>
      <c r="O38" s="72">
        <f>SUMIFS(매출원천!J:J,매출원천!$A:$A,$D38,매출원천!$B:$B,IF($G38="전체","*",$G38))</f>
        <v/>
      </c>
      <c r="P38" s="72">
        <f>SUMIFS(매출원천!K:K,매출원천!$A:$A,$D38,매출원천!$B:$B,IF($G38="전체","*",$G38))</f>
        <v/>
      </c>
      <c r="Q38" s="72">
        <f>SUMIFS(매출원천!L:L,매출원천!$A:$A,$D38,매출원천!$B:$B,IF($G38="전체","*",$G38))</f>
        <v/>
      </c>
      <c r="R38" s="52">
        <f>COUNTIF(H38:Q38,"&gt;0")</f>
        <v/>
      </c>
      <c r="S38" s="52">
        <f>IF($F38="",0,(YEAR($D$8)-YEAR($F38))*12+MONTH($D$8)-MONTH($F38)+1)</f>
        <v/>
      </c>
      <c r="T38" s="73">
        <f>MAX(H38:Q38)</f>
        <v/>
      </c>
      <c r="U38" s="73">
        <f>IF($Z38&lt;&gt;"",$Z38,IF($F38&gt;=$D$6,"신상품",IF(AND($R38&lt;=$D$7,$S38&gt;$D$7),"스팟","기존")))</f>
        <v/>
      </c>
      <c r="V38" s="74">
        <f>IF($U38="신상품",IF($F38&lt;=EOMONTH(V$9,0),$D$5,0),IF($U38="스팟",$Q38,$Q38*$D$4))*IF($AB38="",1,$AB38)</f>
        <v/>
      </c>
      <c r="W38" s="74">
        <f>IF($U38="신상품",IF($F38&lt;=EOMONTH(W$9,0),$D$5,0),IF($U38="스팟",0,IF($AA38="월평균",AVERAGEIF($H38:$P38,"&gt;0"),IF($AA38="9월",$P38,IF($AA38="10월",$V38,$T38)))))*IF($AC38="",1,$AC38)</f>
        <v/>
      </c>
      <c r="X38" s="74">
        <f>IF($U38="신상품",IF($F38&lt;=EOMONTH(X$9,0),$D$5,0),IF($U38="스팟",0,IF($AA38="월평균",AVERAGEIF($H38:$P38,"&gt;0"),IF($AA38="9월",$P38,IF($AA38="10월",$V38,$T38)))))</f>
        <v/>
      </c>
      <c r="Y38" s="75">
        <f>SUM(H38:P38)+SUM(V38:X38)</f>
        <v/>
      </c>
      <c r="Z38" s="56" t="n"/>
      <c r="AA38" s="56" t="n"/>
      <c r="AB38" s="57" t="n"/>
      <c r="AC38" s="57" t="n"/>
    </row>
    <row r="39" hidden="1" s="60">
      <c r="A39" s="34">
        <f>신상품list!B31</f>
        <v/>
      </c>
      <c r="B39" s="34">
        <f>신상품list!C31</f>
        <v/>
      </c>
      <c r="C39" s="34">
        <f>신상품list!D31</f>
        <v/>
      </c>
      <c r="D39" s="34">
        <f>신상품list!E31&amp;""</f>
        <v/>
      </c>
      <c r="E39" s="34">
        <f>신상품list!F31</f>
        <v/>
      </c>
      <c r="F39" s="35">
        <f>신상품list!H31</f>
        <v/>
      </c>
      <c r="G39" s="51">
        <f>IF(신상품list!I31="","전체",신상품list!I31)</f>
        <v/>
      </c>
      <c r="H39" s="72">
        <f>SUMIFS(매출원천!C:C,매출원천!$A:$A,$D39,매출원천!$B:$B,IF($G39="전체","*",$G39))</f>
        <v/>
      </c>
      <c r="I39" s="72">
        <f>SUMIFS(매출원천!D:D,매출원천!$A:$A,$D39,매출원천!$B:$B,IF($G39="전체","*",$G39))</f>
        <v/>
      </c>
      <c r="J39" s="72">
        <f>SUMIFS(매출원천!E:E,매출원천!$A:$A,$D39,매출원천!$B:$B,IF($G39="전체","*",$G39))</f>
        <v/>
      </c>
      <c r="K39" s="72">
        <f>SUMIFS(매출원천!F:F,매출원천!$A:$A,$D39,매출원천!$B:$B,IF($G39="전체","*",$G39))</f>
        <v/>
      </c>
      <c r="L39" s="72">
        <f>SUMIFS(매출원천!G:G,매출원천!$A:$A,$D39,매출원천!$B:$B,IF($G39="전체","*",$G39))</f>
        <v/>
      </c>
      <c r="M39" s="72">
        <f>SUMIFS(매출원천!H:H,매출원천!$A:$A,$D39,매출원천!$B:$B,IF($G39="전체","*",$G39))</f>
        <v/>
      </c>
      <c r="N39" s="72">
        <f>SUMIFS(매출원천!I:I,매출원천!$A:$A,$D39,매출원천!$B:$B,IF($G39="전체","*",$G39))</f>
        <v/>
      </c>
      <c r="O39" s="72">
        <f>SUMIFS(매출원천!J:J,매출원천!$A:$A,$D39,매출원천!$B:$B,IF($G39="전체","*",$G39))</f>
        <v/>
      </c>
      <c r="P39" s="72">
        <f>SUMIFS(매출원천!K:K,매출원천!$A:$A,$D39,매출원천!$B:$B,IF($G39="전체","*",$G39))</f>
        <v/>
      </c>
      <c r="Q39" s="72">
        <f>SUMIFS(매출원천!L:L,매출원천!$A:$A,$D39,매출원천!$B:$B,IF($G39="전체","*",$G39))</f>
        <v/>
      </c>
      <c r="R39" s="52">
        <f>COUNTIF(H39:Q39,"&gt;0")</f>
        <v/>
      </c>
      <c r="S39" s="52">
        <f>IF($F39="",0,(YEAR($D$8)-YEAR($F39))*12+MONTH($D$8)-MONTH($F39)+1)</f>
        <v/>
      </c>
      <c r="T39" s="73">
        <f>MAX(H39:Q39)</f>
        <v/>
      </c>
      <c r="U39" s="73">
        <f>IF($Z39&lt;&gt;"",$Z39,IF($F39&gt;=$D$6,"신상품",IF(AND($R39&lt;=$D$7,$S39&gt;$D$7),"스팟","기존")))</f>
        <v/>
      </c>
      <c r="V39" s="74">
        <f>IF($U39="신상품",IF($F39&lt;=EOMONTH(V$9,0),$D$5,0),IF($U39="스팟",$Q39,$Q39*$D$4))*IF($AB39="",1,$AB39)</f>
        <v/>
      </c>
      <c r="W39" s="74">
        <f>IF($U39="신상품",IF($F39&lt;=EOMONTH(W$9,0),$D$5,0),IF($U39="스팟",0,IF($AA39="월평균",AVERAGEIF($H39:$P39,"&gt;0"),IF($AA39="9월",$P39,IF($AA39="10월",$V39,$T39)))))*IF($AC39="",1,$AC39)</f>
        <v/>
      </c>
      <c r="X39" s="74">
        <f>IF($U39="신상품",IF($F39&lt;=EOMONTH(X$9,0),$D$5,0),IF($U39="스팟",0,IF($AA39="월평균",AVERAGEIF($H39:$P39,"&gt;0"),IF($AA39="9월",$P39,IF($AA39="10월",$V39,$T39)))))</f>
        <v/>
      </c>
      <c r="Y39" s="75">
        <f>SUM(H39:P39)+SUM(V39:X39)</f>
        <v/>
      </c>
      <c r="Z39" s="56" t="n"/>
      <c r="AA39" s="56" t="n"/>
      <c r="AB39" s="57" t="n"/>
      <c r="AC39" s="57" t="n"/>
    </row>
    <row r="40">
      <c r="A40" s="34">
        <f>신상품list!B32</f>
        <v/>
      </c>
      <c r="B40" s="34">
        <f>신상품list!C32</f>
        <v/>
      </c>
      <c r="C40" s="34">
        <f>신상품list!D32</f>
        <v/>
      </c>
      <c r="D40" s="34">
        <f>신상품list!E32&amp;""</f>
        <v/>
      </c>
      <c r="E40" s="34">
        <f>신상품list!F32</f>
        <v/>
      </c>
      <c r="F40" s="35">
        <f>신상품list!H32</f>
        <v/>
      </c>
      <c r="G40" s="51">
        <f>IF(신상품list!I32="","전체",신상품list!I32)</f>
        <v/>
      </c>
      <c r="H40" s="72">
        <f>SUMIFS(매출원천!C:C,매출원천!$A:$A,$D40,매출원천!$B:$B,IF($G40="전체","*",$G40))</f>
        <v/>
      </c>
      <c r="I40" s="72">
        <f>SUMIFS(매출원천!D:D,매출원천!$A:$A,$D40,매출원천!$B:$B,IF($G40="전체","*",$G40))</f>
        <v/>
      </c>
      <c r="J40" s="72">
        <f>SUMIFS(매출원천!E:E,매출원천!$A:$A,$D40,매출원천!$B:$B,IF($G40="전체","*",$G40))</f>
        <v/>
      </c>
      <c r="K40" s="72">
        <f>SUMIFS(매출원천!F:F,매출원천!$A:$A,$D40,매출원천!$B:$B,IF($G40="전체","*",$G40))</f>
        <v/>
      </c>
      <c r="L40" s="72">
        <f>SUMIFS(매출원천!G:G,매출원천!$A:$A,$D40,매출원천!$B:$B,IF($G40="전체","*",$G40))</f>
        <v/>
      </c>
      <c r="M40" s="72">
        <f>SUMIFS(매출원천!H:H,매출원천!$A:$A,$D40,매출원천!$B:$B,IF($G40="전체","*",$G40))</f>
        <v/>
      </c>
      <c r="N40" s="72">
        <f>SUMIFS(매출원천!I:I,매출원천!$A:$A,$D40,매출원천!$B:$B,IF($G40="전체","*",$G40))</f>
        <v/>
      </c>
      <c r="O40" s="72">
        <f>SUMIFS(매출원천!J:J,매출원천!$A:$A,$D40,매출원천!$B:$B,IF($G40="전체","*",$G40))</f>
        <v/>
      </c>
      <c r="P40" s="72">
        <f>SUMIFS(매출원천!K:K,매출원천!$A:$A,$D40,매출원천!$B:$B,IF($G40="전체","*",$G40))</f>
        <v/>
      </c>
      <c r="Q40" s="72">
        <f>SUMIFS(매출원천!L:L,매출원천!$A:$A,$D40,매출원천!$B:$B,IF($G40="전체","*",$G40))</f>
        <v/>
      </c>
      <c r="R40" s="52">
        <f>COUNTIF(H40:Q40,"&gt;0")</f>
        <v/>
      </c>
      <c r="S40" s="52">
        <f>IF($F40="",0,(YEAR($D$8)-YEAR($F40))*12+MONTH($D$8)-MONTH($F40)+1)</f>
        <v/>
      </c>
      <c r="T40" s="73">
        <f>MAX(H40:Q40)</f>
        <v/>
      </c>
      <c r="U40" s="73">
        <f>IF($Z40&lt;&gt;"",$Z40,IF($F40&gt;=$D$6,"신상품",IF(AND($R40&lt;=$D$7,$S40&gt;$D$7),"스팟","기존")))</f>
        <v/>
      </c>
      <c r="V40" s="74">
        <f>IF($U40="신상품",IF($F40&lt;=EOMONTH(V$9,0),$D$5,0),IF($U40="스팟",$Q40,$Q40*$D$4))*IF($AB40="",1,$AB40)</f>
        <v/>
      </c>
      <c r="W40" s="74">
        <f>IF($U40="신상품",IF($F40&lt;=EOMONTH(W$9,0),$D$5,0),IF($U40="스팟",0,IF($AA40="월평균",AVERAGEIF($H40:$P40,"&gt;0"),IF($AA40="9월",$P40,IF($AA40="10월",$V40,$T40)))))*IF($AC40="",1,$AC40)</f>
        <v/>
      </c>
      <c r="X40" s="74">
        <f>IF($U40="신상품",IF($F40&lt;=EOMONTH(X$9,0),$D$5,0),IF($U40="스팟",0,IF($AA40="월평균",AVERAGEIF($H40:$P40,"&gt;0"),IF($AA40="9월",$P40,IF($AA40="10월",$V40,$T40)))))</f>
        <v/>
      </c>
      <c r="Y40" s="75">
        <f>SUM(H40:P40)+SUM(V40:X40)</f>
        <v/>
      </c>
      <c r="Z40" s="56" t="n"/>
      <c r="AA40" s="56" t="n"/>
      <c r="AB40" s="57" t="n"/>
      <c r="AC40" s="57" t="n"/>
    </row>
    <row r="41">
      <c r="A41" s="34">
        <f>신상품list!B33</f>
        <v/>
      </c>
      <c r="B41" s="34">
        <f>신상품list!C33</f>
        <v/>
      </c>
      <c r="C41" s="34">
        <f>신상품list!D33</f>
        <v/>
      </c>
      <c r="D41" s="34">
        <f>신상품list!E33&amp;""</f>
        <v/>
      </c>
      <c r="E41" s="34">
        <f>신상품list!F33</f>
        <v/>
      </c>
      <c r="F41" s="35">
        <f>신상품list!H33</f>
        <v/>
      </c>
      <c r="G41" s="51">
        <f>IF(신상품list!I33="","전체",신상품list!I33)</f>
        <v/>
      </c>
      <c r="H41" s="72">
        <f>SUMIFS(매출원천!C:C,매출원천!$A:$A,$D41,매출원천!$B:$B,IF($G41="전체","*",$G41))</f>
        <v/>
      </c>
      <c r="I41" s="72">
        <f>SUMIFS(매출원천!D:D,매출원천!$A:$A,$D41,매출원천!$B:$B,IF($G41="전체","*",$G41))</f>
        <v/>
      </c>
      <c r="J41" s="72">
        <f>SUMIFS(매출원천!E:E,매출원천!$A:$A,$D41,매출원천!$B:$B,IF($G41="전체","*",$G41))</f>
        <v/>
      </c>
      <c r="K41" s="72">
        <f>SUMIFS(매출원천!F:F,매출원천!$A:$A,$D41,매출원천!$B:$B,IF($G41="전체","*",$G41))</f>
        <v/>
      </c>
      <c r="L41" s="72">
        <f>SUMIFS(매출원천!G:G,매출원천!$A:$A,$D41,매출원천!$B:$B,IF($G41="전체","*",$G41))</f>
        <v/>
      </c>
      <c r="M41" s="72">
        <f>SUMIFS(매출원천!H:H,매출원천!$A:$A,$D41,매출원천!$B:$B,IF($G41="전체","*",$G41))</f>
        <v/>
      </c>
      <c r="N41" s="72">
        <f>SUMIFS(매출원천!I:I,매출원천!$A:$A,$D41,매출원천!$B:$B,IF($G41="전체","*",$G41))</f>
        <v/>
      </c>
      <c r="O41" s="72">
        <f>SUMIFS(매출원천!J:J,매출원천!$A:$A,$D41,매출원천!$B:$B,IF($G41="전체","*",$G41))</f>
        <v/>
      </c>
      <c r="P41" s="72">
        <f>SUMIFS(매출원천!K:K,매출원천!$A:$A,$D41,매출원천!$B:$B,IF($G41="전체","*",$G41))</f>
        <v/>
      </c>
      <c r="Q41" s="72">
        <f>SUMIFS(매출원천!L:L,매출원천!$A:$A,$D41,매출원천!$B:$B,IF($G41="전체","*",$G41))</f>
        <v/>
      </c>
      <c r="R41" s="52">
        <f>COUNTIF(H41:Q41,"&gt;0")</f>
        <v/>
      </c>
      <c r="S41" s="52">
        <f>IF($F41="",0,(YEAR($D$8)-YEAR($F41))*12+MONTH($D$8)-MONTH($F41)+1)</f>
        <v/>
      </c>
      <c r="T41" s="73">
        <f>MAX(H41:Q41)</f>
        <v/>
      </c>
      <c r="U41" s="73">
        <f>IF($Z41&lt;&gt;"",$Z41,IF($F41&gt;=$D$6,"신상품",IF(AND($R41&lt;=$D$7,$S41&gt;$D$7),"스팟","기존")))</f>
        <v/>
      </c>
      <c r="V41" s="74">
        <f>IF($U41="신상품",IF($F41&lt;=EOMONTH(V$9,0),$D$5,0),IF($U41="스팟",$Q41,$Q41*$D$4))*IF($AB41="",1,$AB41)</f>
        <v/>
      </c>
      <c r="W41" s="74">
        <f>IF($U41="신상품",IF($F41&lt;=EOMONTH(W$9,0),$D$5,0),IF($U41="스팟",0,IF($AA41="월평균",AVERAGEIF($H41:$P41,"&gt;0"),IF($AA41="9월",$P41,IF($AA41="10월",$V41,$T41)))))*IF($AC41="",1,$AC41)</f>
        <v/>
      </c>
      <c r="X41" s="74">
        <f>IF($U41="신상품",IF($F41&lt;=EOMONTH(X$9,0),$D$5,0),IF($U41="스팟",0,IF($AA41="월평균",AVERAGEIF($H41:$P41,"&gt;0"),IF($AA41="9월",$P41,IF($AA41="10월",$V41,$T41)))))</f>
        <v/>
      </c>
      <c r="Y41" s="75">
        <f>SUM(H41:P41)+SUM(V41:X41)</f>
        <v/>
      </c>
      <c r="Z41" s="56" t="n"/>
      <c r="AA41" s="56" t="n"/>
      <c r="AB41" s="57" t="n"/>
      <c r="AC41" s="57" t="n"/>
    </row>
    <row r="42" hidden="1" s="60">
      <c r="A42" s="34">
        <f>신상품list!B34</f>
        <v/>
      </c>
      <c r="B42" s="34">
        <f>신상품list!C34</f>
        <v/>
      </c>
      <c r="C42" s="34">
        <f>신상품list!D34</f>
        <v/>
      </c>
      <c r="D42" s="34">
        <f>신상품list!E34&amp;""</f>
        <v/>
      </c>
      <c r="E42" s="34">
        <f>신상품list!F34</f>
        <v/>
      </c>
      <c r="F42" s="35">
        <f>신상품list!H34</f>
        <v/>
      </c>
      <c r="G42" s="51">
        <f>IF(신상품list!I34="","전체",신상품list!I34)</f>
        <v/>
      </c>
      <c r="H42" s="72">
        <f>SUMIFS(매출원천!C:C,매출원천!$A:$A,$D42,매출원천!$B:$B,IF($G42="전체","*",$G42))</f>
        <v/>
      </c>
      <c r="I42" s="72">
        <f>SUMIFS(매출원천!D:D,매출원천!$A:$A,$D42,매출원천!$B:$B,IF($G42="전체","*",$G42))</f>
        <v/>
      </c>
      <c r="J42" s="72">
        <f>SUMIFS(매출원천!E:E,매출원천!$A:$A,$D42,매출원천!$B:$B,IF($G42="전체","*",$G42))</f>
        <v/>
      </c>
      <c r="K42" s="72">
        <f>SUMIFS(매출원천!F:F,매출원천!$A:$A,$D42,매출원천!$B:$B,IF($G42="전체","*",$G42))</f>
        <v/>
      </c>
      <c r="L42" s="72">
        <f>SUMIFS(매출원천!G:G,매출원천!$A:$A,$D42,매출원천!$B:$B,IF($G42="전체","*",$G42))</f>
        <v/>
      </c>
      <c r="M42" s="72">
        <f>SUMIFS(매출원천!H:H,매출원천!$A:$A,$D42,매출원천!$B:$B,IF($G42="전체","*",$G42))</f>
        <v/>
      </c>
      <c r="N42" s="72">
        <f>SUMIFS(매출원천!I:I,매출원천!$A:$A,$D42,매출원천!$B:$B,IF($G42="전체","*",$G42))</f>
        <v/>
      </c>
      <c r="O42" s="72">
        <f>SUMIFS(매출원천!J:J,매출원천!$A:$A,$D42,매출원천!$B:$B,IF($G42="전체","*",$G42))</f>
        <v/>
      </c>
      <c r="P42" s="72">
        <f>SUMIFS(매출원천!K:K,매출원천!$A:$A,$D42,매출원천!$B:$B,IF($G42="전체","*",$G42))</f>
        <v/>
      </c>
      <c r="Q42" s="72">
        <f>SUMIFS(매출원천!L:L,매출원천!$A:$A,$D42,매출원천!$B:$B,IF($G42="전체","*",$G42))</f>
        <v/>
      </c>
      <c r="R42" s="52">
        <f>COUNTIF(H42:Q42,"&gt;0")</f>
        <v/>
      </c>
      <c r="S42" s="52">
        <f>IF($F42="",0,(YEAR($D$8)-YEAR($F42))*12+MONTH($D$8)-MONTH($F42)+1)</f>
        <v/>
      </c>
      <c r="T42" s="73">
        <f>MAX(H42:Q42)</f>
        <v/>
      </c>
      <c r="U42" s="73">
        <f>IF($Z42&lt;&gt;"",$Z42,IF($F42&gt;=$D$6,"신상품",IF(AND($R42&lt;=$D$7,$S42&gt;$D$7),"스팟","기존")))</f>
        <v/>
      </c>
      <c r="V42" s="74">
        <f>IF($U42="신상품",IF($F42&lt;=EOMONTH(V$9,0),$D$5,0),IF($U42="스팟",$Q42,$Q42*$D$4))*IF($AB42="",1,$AB42)</f>
        <v/>
      </c>
      <c r="W42" s="74">
        <f>IF($U42="신상품",IF($F42&lt;=EOMONTH(W$9,0),$D$5,0),IF($U42="스팟",0,IF($AA42="월평균",AVERAGEIF($H42:$P42,"&gt;0"),IF($AA42="9월",$P42,IF($AA42="10월",$V42,$T42)))))*IF($AC42="",1,$AC42)</f>
        <v/>
      </c>
      <c r="X42" s="74">
        <f>IF($U42="신상품",IF($F42&lt;=EOMONTH(X$9,0),$D$5,0),IF($U42="스팟",0,IF($AA42="월평균",AVERAGEIF($H42:$P42,"&gt;0"),IF($AA42="9월",$P42,IF($AA42="10월",$V42,$T42)))))</f>
        <v/>
      </c>
      <c r="Y42" s="75">
        <f>SUM(H42:P42)+SUM(V42:X42)</f>
        <v/>
      </c>
      <c r="Z42" s="56" t="n"/>
      <c r="AA42" s="56" t="n"/>
      <c r="AB42" s="57" t="n"/>
      <c r="AC42" s="57" t="n"/>
    </row>
    <row r="43" hidden="1" s="60">
      <c r="A43" s="34">
        <f>신상품list!B35</f>
        <v/>
      </c>
      <c r="B43" s="34">
        <f>신상품list!C35</f>
        <v/>
      </c>
      <c r="C43" s="34">
        <f>신상품list!D35</f>
        <v/>
      </c>
      <c r="D43" s="34">
        <f>신상품list!E35&amp;""</f>
        <v/>
      </c>
      <c r="E43" s="34">
        <f>신상품list!F35</f>
        <v/>
      </c>
      <c r="F43" s="35">
        <f>신상품list!H35</f>
        <v/>
      </c>
      <c r="G43" s="51">
        <f>IF(신상품list!I35="","전체",신상품list!I35)</f>
        <v/>
      </c>
      <c r="H43" s="72">
        <f>SUMIFS(매출원천!C:C,매출원천!$A:$A,$D43,매출원천!$B:$B,IF($G43="전체","*",$G43))</f>
        <v/>
      </c>
      <c r="I43" s="72">
        <f>SUMIFS(매출원천!D:D,매출원천!$A:$A,$D43,매출원천!$B:$B,IF($G43="전체","*",$G43))</f>
        <v/>
      </c>
      <c r="J43" s="72">
        <f>SUMIFS(매출원천!E:E,매출원천!$A:$A,$D43,매출원천!$B:$B,IF($G43="전체","*",$G43))</f>
        <v/>
      </c>
      <c r="K43" s="72">
        <f>SUMIFS(매출원천!F:F,매출원천!$A:$A,$D43,매출원천!$B:$B,IF($G43="전체","*",$G43))</f>
        <v/>
      </c>
      <c r="L43" s="72">
        <f>SUMIFS(매출원천!G:G,매출원천!$A:$A,$D43,매출원천!$B:$B,IF($G43="전체","*",$G43))</f>
        <v/>
      </c>
      <c r="M43" s="72">
        <f>SUMIFS(매출원천!H:H,매출원천!$A:$A,$D43,매출원천!$B:$B,IF($G43="전체","*",$G43))</f>
        <v/>
      </c>
      <c r="N43" s="72">
        <f>SUMIFS(매출원천!I:I,매출원천!$A:$A,$D43,매출원천!$B:$B,IF($G43="전체","*",$G43))</f>
        <v/>
      </c>
      <c r="O43" s="72">
        <f>SUMIFS(매출원천!J:J,매출원천!$A:$A,$D43,매출원천!$B:$B,IF($G43="전체","*",$G43))</f>
        <v/>
      </c>
      <c r="P43" s="72">
        <f>SUMIFS(매출원천!K:K,매출원천!$A:$A,$D43,매출원천!$B:$B,IF($G43="전체","*",$G43))</f>
        <v/>
      </c>
      <c r="Q43" s="72">
        <f>SUMIFS(매출원천!L:L,매출원천!$A:$A,$D43,매출원천!$B:$B,IF($G43="전체","*",$G43))</f>
        <v/>
      </c>
      <c r="R43" s="52">
        <f>COUNTIF(H43:Q43,"&gt;0")</f>
        <v/>
      </c>
      <c r="S43" s="52">
        <f>IF($F43="",0,(YEAR($D$8)-YEAR($F43))*12+MONTH($D$8)-MONTH($F43)+1)</f>
        <v/>
      </c>
      <c r="T43" s="73">
        <f>MAX(H43:Q43)</f>
        <v/>
      </c>
      <c r="U43" s="73">
        <f>IF($Z43&lt;&gt;"",$Z43,IF($F43&gt;=$D$6,"신상품",IF(AND($R43&lt;=$D$7,$S43&gt;$D$7),"스팟","기존")))</f>
        <v/>
      </c>
      <c r="V43" s="74">
        <f>IF($U43="신상품",IF($F43&lt;=EOMONTH(V$9,0),$D$5,0),IF($U43="스팟",$Q43,$Q43*$D$4))*IF($AB43="",1,$AB43)</f>
        <v/>
      </c>
      <c r="W43" s="74">
        <f>IF($U43="신상품",IF($F43&lt;=EOMONTH(W$9,0),$D$5,0),IF($U43="스팟",0,IF($AA43="월평균",AVERAGEIF($H43:$P43,"&gt;0"),IF($AA43="9월",$P43,IF($AA43="10월",$V43,$T43)))))*IF($AC43="",1,$AC43)</f>
        <v/>
      </c>
      <c r="X43" s="74">
        <f>IF($U43="신상품",IF($F43&lt;=EOMONTH(X$9,0),$D$5,0),IF($U43="스팟",0,IF($AA43="월평균",AVERAGEIF($H43:$P43,"&gt;0"),IF($AA43="9월",$P43,IF($AA43="10월",$V43,$T43)))))</f>
        <v/>
      </c>
      <c r="Y43" s="75">
        <f>SUM(H43:P43)+SUM(V43:X43)</f>
        <v/>
      </c>
      <c r="Z43" s="56" t="n"/>
      <c r="AA43" s="56" t="n"/>
      <c r="AB43" s="57" t="n"/>
      <c r="AC43" s="57" t="n"/>
    </row>
    <row r="44">
      <c r="A44" s="34">
        <f>신상품list!B36</f>
        <v/>
      </c>
      <c r="B44" s="34">
        <f>신상품list!C36</f>
        <v/>
      </c>
      <c r="C44" s="34">
        <f>신상품list!D36</f>
        <v/>
      </c>
      <c r="D44" s="34">
        <f>신상품list!E36&amp;""</f>
        <v/>
      </c>
      <c r="E44" s="34">
        <f>신상품list!F36</f>
        <v/>
      </c>
      <c r="F44" s="35">
        <f>신상품list!H36</f>
        <v/>
      </c>
      <c r="G44" s="51">
        <f>IF(신상품list!I36="","전체",신상품list!I36)</f>
        <v/>
      </c>
      <c r="H44" s="72">
        <f>SUMIFS(매출원천!C:C,매출원천!$A:$A,$D44,매출원천!$B:$B,IF($G44="전체","*",$G44))</f>
        <v/>
      </c>
      <c r="I44" s="72">
        <f>SUMIFS(매출원천!D:D,매출원천!$A:$A,$D44,매출원천!$B:$B,IF($G44="전체","*",$G44))</f>
        <v/>
      </c>
      <c r="J44" s="72">
        <f>SUMIFS(매출원천!E:E,매출원천!$A:$A,$D44,매출원천!$B:$B,IF($G44="전체","*",$G44))</f>
        <v/>
      </c>
      <c r="K44" s="72">
        <f>SUMIFS(매출원천!F:F,매출원천!$A:$A,$D44,매출원천!$B:$B,IF($G44="전체","*",$G44))</f>
        <v/>
      </c>
      <c r="L44" s="72">
        <f>SUMIFS(매출원천!G:G,매출원천!$A:$A,$D44,매출원천!$B:$B,IF($G44="전체","*",$G44))</f>
        <v/>
      </c>
      <c r="M44" s="72">
        <f>SUMIFS(매출원천!H:H,매출원천!$A:$A,$D44,매출원천!$B:$B,IF($G44="전체","*",$G44))</f>
        <v/>
      </c>
      <c r="N44" s="72">
        <f>SUMIFS(매출원천!I:I,매출원천!$A:$A,$D44,매출원천!$B:$B,IF($G44="전체","*",$G44))</f>
        <v/>
      </c>
      <c r="O44" s="72">
        <f>SUMIFS(매출원천!J:J,매출원천!$A:$A,$D44,매출원천!$B:$B,IF($G44="전체","*",$G44))</f>
        <v/>
      </c>
      <c r="P44" s="72">
        <f>SUMIFS(매출원천!K:K,매출원천!$A:$A,$D44,매출원천!$B:$B,IF($G44="전체","*",$G44))</f>
        <v/>
      </c>
      <c r="Q44" s="72">
        <f>SUMIFS(매출원천!L:L,매출원천!$A:$A,$D44,매출원천!$B:$B,IF($G44="전체","*",$G44))</f>
        <v/>
      </c>
      <c r="R44" s="52">
        <f>COUNTIF(H44:Q44,"&gt;0")</f>
        <v/>
      </c>
      <c r="S44" s="52">
        <f>IF($F44="",0,(YEAR($D$8)-YEAR($F44))*12+MONTH($D$8)-MONTH($F44)+1)</f>
        <v/>
      </c>
      <c r="T44" s="73">
        <f>MAX(H44:Q44)</f>
        <v/>
      </c>
      <c r="U44" s="73">
        <f>IF($Z44&lt;&gt;"",$Z44,IF($F44&gt;=$D$6,"신상품",IF(AND($R44&lt;=$D$7,$S44&gt;$D$7),"스팟","기존")))</f>
        <v/>
      </c>
      <c r="V44" s="74">
        <f>IF($U44="신상품",IF($F44&lt;=EOMONTH(V$9,0),$D$5,0),IF($U44="스팟",$Q44,$Q44*$D$4))*IF($AB44="",1,$AB44)</f>
        <v/>
      </c>
      <c r="W44" s="74">
        <f>IF($U44="신상품",IF($F44&lt;=EOMONTH(W$9,0),$D$5,0),IF($U44="스팟",0,IF($AA44="월평균",AVERAGEIF($H44:$P44,"&gt;0"),IF($AA44="9월",$P44,IF($AA44="10월",$V44,$T44)))))*IF($AC44="",1,$AC44)</f>
        <v/>
      </c>
      <c r="X44" s="74">
        <f>IF($U44="신상품",IF($F44&lt;=EOMONTH(X$9,0),$D$5,0),IF($U44="스팟",0,IF($AA44="월평균",AVERAGEIF($H44:$P44,"&gt;0"),IF($AA44="9월",$P44,IF($AA44="10월",$V44,$T44)))))</f>
        <v/>
      </c>
      <c r="Y44" s="75">
        <f>SUM(H44:P44)+SUM(V44:X44)</f>
        <v/>
      </c>
      <c r="Z44" s="56" t="n"/>
      <c r="AA44" s="56" t="n"/>
      <c r="AB44" s="57" t="n"/>
      <c r="AC44" s="57" t="n"/>
    </row>
    <row r="45">
      <c r="A45" s="34">
        <f>신상품list!B37</f>
        <v/>
      </c>
      <c r="B45" s="34">
        <f>신상품list!C37</f>
        <v/>
      </c>
      <c r="C45" s="34">
        <f>신상품list!D37</f>
        <v/>
      </c>
      <c r="D45" s="34">
        <f>신상품list!E37&amp;""</f>
        <v/>
      </c>
      <c r="E45" s="34">
        <f>신상품list!F37</f>
        <v/>
      </c>
      <c r="F45" s="35">
        <f>신상품list!H37</f>
        <v/>
      </c>
      <c r="G45" s="51">
        <f>IF(신상품list!I37="","전체",신상품list!I37)</f>
        <v/>
      </c>
      <c r="H45" s="72">
        <f>SUMIFS(매출원천!C:C,매출원천!$A:$A,$D45,매출원천!$B:$B,IF($G45="전체","*",$G45))</f>
        <v/>
      </c>
      <c r="I45" s="72">
        <f>SUMIFS(매출원천!D:D,매출원천!$A:$A,$D45,매출원천!$B:$B,IF($G45="전체","*",$G45))</f>
        <v/>
      </c>
      <c r="J45" s="72">
        <f>SUMIFS(매출원천!E:E,매출원천!$A:$A,$D45,매출원천!$B:$B,IF($G45="전체","*",$G45))</f>
        <v/>
      </c>
      <c r="K45" s="72">
        <f>SUMIFS(매출원천!F:F,매출원천!$A:$A,$D45,매출원천!$B:$B,IF($G45="전체","*",$G45))</f>
        <v/>
      </c>
      <c r="L45" s="72">
        <f>SUMIFS(매출원천!G:G,매출원천!$A:$A,$D45,매출원천!$B:$B,IF($G45="전체","*",$G45))</f>
        <v/>
      </c>
      <c r="M45" s="72">
        <f>SUMIFS(매출원천!H:H,매출원천!$A:$A,$D45,매출원천!$B:$B,IF($G45="전체","*",$G45))</f>
        <v/>
      </c>
      <c r="N45" s="72">
        <f>SUMIFS(매출원천!I:I,매출원천!$A:$A,$D45,매출원천!$B:$B,IF($G45="전체","*",$G45))</f>
        <v/>
      </c>
      <c r="O45" s="72">
        <f>SUMIFS(매출원천!J:J,매출원천!$A:$A,$D45,매출원천!$B:$B,IF($G45="전체","*",$G45))</f>
        <v/>
      </c>
      <c r="P45" s="72">
        <f>SUMIFS(매출원천!K:K,매출원천!$A:$A,$D45,매출원천!$B:$B,IF($G45="전체","*",$G45))</f>
        <v/>
      </c>
      <c r="Q45" s="72">
        <f>SUMIFS(매출원천!L:L,매출원천!$A:$A,$D45,매출원천!$B:$B,IF($G45="전체","*",$G45))</f>
        <v/>
      </c>
      <c r="R45" s="52">
        <f>COUNTIF(H45:Q45,"&gt;0")</f>
        <v/>
      </c>
      <c r="S45" s="52">
        <f>IF($F45="",0,(YEAR($D$8)-YEAR($F45))*12+MONTH($D$8)-MONTH($F45)+1)</f>
        <v/>
      </c>
      <c r="T45" s="73">
        <f>MAX(H45:Q45)</f>
        <v/>
      </c>
      <c r="U45" s="73">
        <f>IF($Z45&lt;&gt;"",$Z45,IF($F45&gt;=$D$6,"신상품",IF(AND($R45&lt;=$D$7,$S45&gt;$D$7),"스팟","기존")))</f>
        <v/>
      </c>
      <c r="V45" s="74">
        <f>IF($U45="신상품",IF($F45&lt;=EOMONTH(V$9,0),$D$5,0),IF($U45="스팟",$Q45,$Q45*$D$4))*IF($AB45="",1,$AB45)</f>
        <v/>
      </c>
      <c r="W45" s="74">
        <f>IF($U45="신상품",IF($F45&lt;=EOMONTH(W$9,0),$D$5,0),IF($U45="스팟",0,IF($AA45="월평균",AVERAGEIF($H45:$P45,"&gt;0"),IF($AA45="9월",$P45,IF($AA45="10월",$V45,$T45)))))*IF($AC45="",1,$AC45)</f>
        <v/>
      </c>
      <c r="X45" s="74">
        <f>IF($U45="신상품",IF($F45&lt;=EOMONTH(X$9,0),$D$5,0),IF($U45="스팟",0,IF($AA45="월평균",AVERAGEIF($H45:$P45,"&gt;0"),IF($AA45="9월",$P45,IF($AA45="10월",$V45,$T45)))))</f>
        <v/>
      </c>
      <c r="Y45" s="75">
        <f>SUM(H45:P45)+SUM(V45:X45)</f>
        <v/>
      </c>
      <c r="Z45" s="56" t="n"/>
      <c r="AA45" s="56" t="n"/>
      <c r="AB45" s="57" t="n"/>
      <c r="AC45" s="57" t="n"/>
    </row>
    <row r="46" hidden="1" s="60">
      <c r="A46" s="34">
        <f>신상품list!B38</f>
        <v/>
      </c>
      <c r="B46" s="34">
        <f>신상품list!C38</f>
        <v/>
      </c>
      <c r="C46" s="34">
        <f>신상품list!D38</f>
        <v/>
      </c>
      <c r="D46" s="34">
        <f>신상품list!E38&amp;""</f>
        <v/>
      </c>
      <c r="E46" s="34">
        <f>신상품list!F38</f>
        <v/>
      </c>
      <c r="F46" s="35">
        <f>신상품list!H38</f>
        <v/>
      </c>
      <c r="G46" s="51">
        <f>IF(신상품list!I38="","전체",신상품list!I38)</f>
        <v/>
      </c>
      <c r="H46" s="72">
        <f>SUMIFS(매출원천!C:C,매출원천!$A:$A,$D46,매출원천!$B:$B,IF($G46="전체","*",$G46))</f>
        <v/>
      </c>
      <c r="I46" s="72">
        <f>SUMIFS(매출원천!D:D,매출원천!$A:$A,$D46,매출원천!$B:$B,IF($G46="전체","*",$G46))</f>
        <v/>
      </c>
      <c r="J46" s="72">
        <f>SUMIFS(매출원천!E:E,매출원천!$A:$A,$D46,매출원천!$B:$B,IF($G46="전체","*",$G46))</f>
        <v/>
      </c>
      <c r="K46" s="72">
        <f>SUMIFS(매출원천!F:F,매출원천!$A:$A,$D46,매출원천!$B:$B,IF($G46="전체","*",$G46))</f>
        <v/>
      </c>
      <c r="L46" s="72">
        <f>SUMIFS(매출원천!G:G,매출원천!$A:$A,$D46,매출원천!$B:$B,IF($G46="전체","*",$G46))</f>
        <v/>
      </c>
      <c r="M46" s="72">
        <f>SUMIFS(매출원천!H:H,매출원천!$A:$A,$D46,매출원천!$B:$B,IF($G46="전체","*",$G46))</f>
        <v/>
      </c>
      <c r="N46" s="72">
        <f>SUMIFS(매출원천!I:I,매출원천!$A:$A,$D46,매출원천!$B:$B,IF($G46="전체","*",$G46))</f>
        <v/>
      </c>
      <c r="O46" s="72">
        <f>SUMIFS(매출원천!J:J,매출원천!$A:$A,$D46,매출원천!$B:$B,IF($G46="전체","*",$G46))</f>
        <v/>
      </c>
      <c r="P46" s="72">
        <f>SUMIFS(매출원천!K:K,매출원천!$A:$A,$D46,매출원천!$B:$B,IF($G46="전체","*",$G46))</f>
        <v/>
      </c>
      <c r="Q46" s="72">
        <f>SUMIFS(매출원천!L:L,매출원천!$A:$A,$D46,매출원천!$B:$B,IF($G46="전체","*",$G46))</f>
        <v/>
      </c>
      <c r="R46" s="52">
        <f>COUNTIF(H46:Q46,"&gt;0")</f>
        <v/>
      </c>
      <c r="S46" s="52">
        <f>IF($F46="",0,(YEAR($D$8)-YEAR($F46))*12+MONTH($D$8)-MONTH($F46)+1)</f>
        <v/>
      </c>
      <c r="T46" s="73">
        <f>MAX(H46:Q46)</f>
        <v/>
      </c>
      <c r="U46" s="73">
        <f>IF($Z46&lt;&gt;"",$Z46,IF($F46&gt;=$D$6,"신상품",IF(AND($R46&lt;=$D$7,$S46&gt;$D$7),"스팟","기존")))</f>
        <v/>
      </c>
      <c r="V46" s="74">
        <f>IF($U46="신상품",IF($F46&lt;=EOMONTH(V$9,0),$D$5,0),IF($U46="스팟",$Q46,$Q46*$D$4))*IF($AB46="",1,$AB46)</f>
        <v/>
      </c>
      <c r="W46" s="74">
        <f>IF($U46="신상품",IF($F46&lt;=EOMONTH(W$9,0),$D$5,0),IF($U46="스팟",0,IF($AA46="월평균",AVERAGEIF($H46:$P46,"&gt;0"),IF($AA46="9월",$P46,IF($AA46="10월",$V46,$T46)))))*IF($AC46="",1,$AC46)</f>
        <v/>
      </c>
      <c r="X46" s="74">
        <f>IF($U46="신상품",IF($F46&lt;=EOMONTH(X$9,0),$D$5,0),IF($U46="스팟",0,IF($AA46="월평균",AVERAGEIF($H46:$P46,"&gt;0"),IF($AA46="9월",$P46,IF($AA46="10월",$V46,$T46)))))</f>
        <v/>
      </c>
      <c r="Y46" s="75">
        <f>SUM(H46:P46)+SUM(V46:X46)</f>
        <v/>
      </c>
      <c r="Z46" s="56" t="n"/>
      <c r="AA46" s="56" t="n"/>
      <c r="AB46" s="57" t="n">
        <v>0</v>
      </c>
      <c r="AC46" s="57" t="n"/>
    </row>
    <row r="47" hidden="1" s="60">
      <c r="A47" s="34">
        <f>신상품list!B39</f>
        <v/>
      </c>
      <c r="B47" s="34">
        <f>신상품list!C39</f>
        <v/>
      </c>
      <c r="C47" s="34">
        <f>신상품list!D39</f>
        <v/>
      </c>
      <c r="D47" s="34">
        <f>신상품list!E39&amp;""</f>
        <v/>
      </c>
      <c r="E47" s="34">
        <f>신상품list!F39</f>
        <v/>
      </c>
      <c r="F47" s="35">
        <f>신상품list!H39</f>
        <v/>
      </c>
      <c r="G47" s="51">
        <f>IF(신상품list!I39="","전체",신상품list!I39)</f>
        <v/>
      </c>
      <c r="H47" s="72">
        <f>SUMIFS(매출원천!C:C,매출원천!$A:$A,$D47,매출원천!$B:$B,IF($G47="전체","*",$G47))</f>
        <v/>
      </c>
      <c r="I47" s="72">
        <f>SUMIFS(매출원천!D:D,매출원천!$A:$A,$D47,매출원천!$B:$B,IF($G47="전체","*",$G47))</f>
        <v/>
      </c>
      <c r="J47" s="72">
        <f>SUMIFS(매출원천!E:E,매출원천!$A:$A,$D47,매출원천!$B:$B,IF($G47="전체","*",$G47))</f>
        <v/>
      </c>
      <c r="K47" s="72">
        <f>SUMIFS(매출원천!F:F,매출원천!$A:$A,$D47,매출원천!$B:$B,IF($G47="전체","*",$G47))</f>
        <v/>
      </c>
      <c r="L47" s="72">
        <f>SUMIFS(매출원천!G:G,매출원천!$A:$A,$D47,매출원천!$B:$B,IF($G47="전체","*",$G47))</f>
        <v/>
      </c>
      <c r="M47" s="72">
        <f>SUMIFS(매출원천!H:H,매출원천!$A:$A,$D47,매출원천!$B:$B,IF($G47="전체","*",$G47))</f>
        <v/>
      </c>
      <c r="N47" s="72">
        <f>SUMIFS(매출원천!I:I,매출원천!$A:$A,$D47,매출원천!$B:$B,IF($G47="전체","*",$G47))</f>
        <v/>
      </c>
      <c r="O47" s="72">
        <f>SUMIFS(매출원천!J:J,매출원천!$A:$A,$D47,매출원천!$B:$B,IF($G47="전체","*",$G47))</f>
        <v/>
      </c>
      <c r="P47" s="72">
        <f>SUMIFS(매출원천!K:K,매출원천!$A:$A,$D47,매출원천!$B:$B,IF($G47="전체","*",$G47))</f>
        <v/>
      </c>
      <c r="Q47" s="72">
        <f>SUMIFS(매출원천!L:L,매출원천!$A:$A,$D47,매출원천!$B:$B,IF($G47="전체","*",$G47))</f>
        <v/>
      </c>
      <c r="R47" s="52">
        <f>COUNTIF(H47:Q47,"&gt;0")</f>
        <v/>
      </c>
      <c r="S47" s="52">
        <f>IF($F47="",0,(YEAR($D$8)-YEAR($F47))*12+MONTH($D$8)-MONTH($F47)+1)</f>
        <v/>
      </c>
      <c r="T47" s="73">
        <f>MAX(H47:Q47)</f>
        <v/>
      </c>
      <c r="U47" s="73">
        <f>IF($Z47&lt;&gt;"",$Z47,IF($F47&gt;=$D$6,"신상품",IF(AND($R47&lt;=$D$7,$S47&gt;$D$7),"스팟","기존")))</f>
        <v/>
      </c>
      <c r="V47" s="74">
        <f>IF($U47="신상품",IF($F47&lt;=EOMONTH(V$9,0),$D$5,0),IF($U47="스팟",$Q47,$Q47*$D$4))*IF($AB47="",1,$AB47)</f>
        <v/>
      </c>
      <c r="W47" s="74">
        <f>IF($U47="신상품",IF($F47&lt;=EOMONTH(W$9,0),$D$5,0),IF($U47="스팟",0,IF($AA47="월평균",AVERAGEIF($H47:$P47,"&gt;0"),IF($AA47="9월",$P47,IF($AA47="10월",$V47,$T47)))))*IF($AC47="",1,$AC47)</f>
        <v/>
      </c>
      <c r="X47" s="74">
        <f>IF($U47="신상품",IF($F47&lt;=EOMONTH(X$9,0),$D$5,0),IF($U47="스팟",0,IF($AA47="월평균",AVERAGEIF($H47:$P47,"&gt;0"),IF($AA47="9월",$P47,IF($AA47="10월",$V47,$T47)))))</f>
        <v/>
      </c>
      <c r="Y47" s="75">
        <f>SUM(H47:P47)+SUM(V47:X47)</f>
        <v/>
      </c>
      <c r="Z47" s="56" t="n"/>
      <c r="AA47" s="56" t="n"/>
      <c r="AB47" s="57" t="n">
        <v>0</v>
      </c>
      <c r="AC47" s="57" t="n"/>
    </row>
    <row r="48">
      <c r="A48" s="34">
        <f>신상품list!B40</f>
        <v/>
      </c>
      <c r="B48" s="34">
        <f>신상품list!C40</f>
        <v/>
      </c>
      <c r="C48" s="34">
        <f>신상품list!D40</f>
        <v/>
      </c>
      <c r="D48" s="34">
        <f>신상품list!E40&amp;""</f>
        <v/>
      </c>
      <c r="E48" s="34">
        <f>신상품list!F40</f>
        <v/>
      </c>
      <c r="F48" s="35">
        <f>신상품list!H40</f>
        <v/>
      </c>
      <c r="G48" s="51">
        <f>IF(신상품list!I40="","전체",신상품list!I40)</f>
        <v/>
      </c>
      <c r="H48" s="72">
        <f>SUMIFS(매출원천!C:C,매출원천!$A:$A,$D48,매출원천!$B:$B,IF($G48="전체","*",$G48))</f>
        <v/>
      </c>
      <c r="I48" s="72">
        <f>SUMIFS(매출원천!D:D,매출원천!$A:$A,$D48,매출원천!$B:$B,IF($G48="전체","*",$G48))</f>
        <v/>
      </c>
      <c r="J48" s="72">
        <f>SUMIFS(매출원천!E:E,매출원천!$A:$A,$D48,매출원천!$B:$B,IF($G48="전체","*",$G48))</f>
        <v/>
      </c>
      <c r="K48" s="72">
        <f>SUMIFS(매출원천!F:F,매출원천!$A:$A,$D48,매출원천!$B:$B,IF($G48="전체","*",$G48))</f>
        <v/>
      </c>
      <c r="L48" s="72">
        <f>SUMIFS(매출원천!G:G,매출원천!$A:$A,$D48,매출원천!$B:$B,IF($G48="전체","*",$G48))</f>
        <v/>
      </c>
      <c r="M48" s="72">
        <f>SUMIFS(매출원천!H:H,매출원천!$A:$A,$D48,매출원천!$B:$B,IF($G48="전체","*",$G48))</f>
        <v/>
      </c>
      <c r="N48" s="72">
        <f>SUMIFS(매출원천!I:I,매출원천!$A:$A,$D48,매출원천!$B:$B,IF($G48="전체","*",$G48))</f>
        <v/>
      </c>
      <c r="O48" s="72">
        <f>SUMIFS(매출원천!J:J,매출원천!$A:$A,$D48,매출원천!$B:$B,IF($G48="전체","*",$G48))</f>
        <v/>
      </c>
      <c r="P48" s="72">
        <f>SUMIFS(매출원천!K:K,매출원천!$A:$A,$D48,매출원천!$B:$B,IF($G48="전체","*",$G48))</f>
        <v/>
      </c>
      <c r="Q48" s="72">
        <f>SUMIFS(매출원천!L:L,매출원천!$A:$A,$D48,매출원천!$B:$B,IF($G48="전체","*",$G48))</f>
        <v/>
      </c>
      <c r="R48" s="52">
        <f>COUNTIF(H48:Q48,"&gt;0")</f>
        <v/>
      </c>
      <c r="S48" s="52">
        <f>IF($F48="",0,(YEAR($D$8)-YEAR($F48))*12+MONTH($D$8)-MONTH($F48)+1)</f>
        <v/>
      </c>
      <c r="T48" s="73">
        <f>MAX(H48:Q48)</f>
        <v/>
      </c>
      <c r="U48" s="73">
        <f>IF($Z48&lt;&gt;"",$Z48,IF($F48&gt;=$D$6,"신상품",IF(AND($R48&lt;=$D$7,$S48&gt;$D$7),"스팟","기존")))</f>
        <v/>
      </c>
      <c r="V48" s="74">
        <f>IF($U48="신상품",IF($F48&lt;=EOMONTH(V$9,0),$D$5,0),IF($U48="스팟",$Q48,$Q48*$D$4))*IF($AB48="",1,$AB48)</f>
        <v/>
      </c>
      <c r="W48" s="74">
        <f>IF($U48="신상품",IF($F48&lt;=EOMONTH(W$9,0),$D$5,0),IF($U48="스팟",0,IF($AA48="월평균",AVERAGEIF($H48:$P48,"&gt;0"),IF($AA48="9월",$P48,IF($AA48="10월",$V48,$T48)))))*IF($AC48="",1,$AC48)</f>
        <v/>
      </c>
      <c r="X48" s="74">
        <f>IF($U48="신상품",IF($F48&lt;=EOMONTH(X$9,0),$D$5,0),IF($U48="스팟",0,IF($AA48="월평균",AVERAGEIF($H48:$P48,"&gt;0"),IF($AA48="9월",$P48,IF($AA48="10월",$V48,$T48)))))</f>
        <v/>
      </c>
      <c r="Y48" s="75">
        <f>SUM(H48:P48)+SUM(V48:X48)</f>
        <v/>
      </c>
      <c r="Z48" s="56" t="n"/>
      <c r="AA48" s="56" t="n"/>
      <c r="AB48" s="57" t="n">
        <v>0</v>
      </c>
      <c r="AC48" s="57" t="n"/>
    </row>
    <row r="49">
      <c r="A49" s="34">
        <f>신상품list!B41</f>
        <v/>
      </c>
      <c r="B49" s="34">
        <f>신상품list!C41</f>
        <v/>
      </c>
      <c r="C49" s="34">
        <f>신상품list!D41</f>
        <v/>
      </c>
      <c r="D49" s="34">
        <f>신상품list!E41&amp;""</f>
        <v/>
      </c>
      <c r="E49" s="34">
        <f>신상품list!F41</f>
        <v/>
      </c>
      <c r="F49" s="35">
        <f>신상품list!H41</f>
        <v/>
      </c>
      <c r="G49" s="51">
        <f>IF(신상품list!I41="","전체",신상품list!I41)</f>
        <v/>
      </c>
      <c r="H49" s="72">
        <f>SUMIFS(매출원천!C:C,매출원천!$A:$A,$D49,매출원천!$B:$B,IF($G49="전체","*",$G49))</f>
        <v/>
      </c>
      <c r="I49" s="72">
        <f>SUMIFS(매출원천!D:D,매출원천!$A:$A,$D49,매출원천!$B:$B,IF($G49="전체","*",$G49))</f>
        <v/>
      </c>
      <c r="J49" s="72">
        <f>SUMIFS(매출원천!E:E,매출원천!$A:$A,$D49,매출원천!$B:$B,IF($G49="전체","*",$G49))</f>
        <v/>
      </c>
      <c r="K49" s="72">
        <f>SUMIFS(매출원천!F:F,매출원천!$A:$A,$D49,매출원천!$B:$B,IF($G49="전체","*",$G49))</f>
        <v/>
      </c>
      <c r="L49" s="72">
        <f>SUMIFS(매출원천!G:G,매출원천!$A:$A,$D49,매출원천!$B:$B,IF($G49="전체","*",$G49))</f>
        <v/>
      </c>
      <c r="M49" s="72">
        <f>SUMIFS(매출원천!H:H,매출원천!$A:$A,$D49,매출원천!$B:$B,IF($G49="전체","*",$G49))</f>
        <v/>
      </c>
      <c r="N49" s="72">
        <f>SUMIFS(매출원천!I:I,매출원천!$A:$A,$D49,매출원천!$B:$B,IF($G49="전체","*",$G49))</f>
        <v/>
      </c>
      <c r="O49" s="72">
        <f>SUMIFS(매출원천!J:J,매출원천!$A:$A,$D49,매출원천!$B:$B,IF($G49="전체","*",$G49))</f>
        <v/>
      </c>
      <c r="P49" s="72">
        <f>SUMIFS(매출원천!K:K,매출원천!$A:$A,$D49,매출원천!$B:$B,IF($G49="전체","*",$G49))</f>
        <v/>
      </c>
      <c r="Q49" s="72">
        <f>SUMIFS(매출원천!L:L,매출원천!$A:$A,$D49,매출원천!$B:$B,IF($G49="전체","*",$G49))</f>
        <v/>
      </c>
      <c r="R49" s="52">
        <f>COUNTIF(H49:Q49,"&gt;0")</f>
        <v/>
      </c>
      <c r="S49" s="52">
        <f>IF($F49="",0,(YEAR($D$8)-YEAR($F49))*12+MONTH($D$8)-MONTH($F49)+1)</f>
        <v/>
      </c>
      <c r="T49" s="73">
        <f>MAX(H49:Q49)</f>
        <v/>
      </c>
      <c r="U49" s="73">
        <f>IF($Z49&lt;&gt;"",$Z49,IF($F49&gt;=$D$6,"신상품",IF(AND($R49&lt;=$D$7,$S49&gt;$D$7),"스팟","기존")))</f>
        <v/>
      </c>
      <c r="V49" s="74">
        <f>IF($U49="신상품",IF($F49&lt;=EOMONTH(V$9,0),$D$5,0),IF($U49="스팟",$Q49,$Q49*$D$4))*IF($AB49="",1,$AB49)</f>
        <v/>
      </c>
      <c r="W49" s="74">
        <f>IF($U49="신상품",IF($F49&lt;=EOMONTH(W$9,0),$D$5,0),IF($U49="스팟",0,IF($AA49="월평균",AVERAGEIF($H49:$P49,"&gt;0"),IF($AA49="9월",$P49,IF($AA49="10월",$V49,$T49)))))*IF($AC49="",1,$AC49)</f>
        <v/>
      </c>
      <c r="X49" s="74">
        <f>IF($U49="신상품",IF($F49&lt;=EOMONTH(X$9,0),$D$5,0),IF($U49="스팟",0,IF($AA49="월평균",AVERAGEIF($H49:$P49,"&gt;0"),IF($AA49="9월",$P49,IF($AA49="10월",$V49,$T49)))))</f>
        <v/>
      </c>
      <c r="Y49" s="75">
        <f>SUM(H49:P49)+SUM(V49:X49)</f>
        <v/>
      </c>
      <c r="Z49" s="56" t="n"/>
      <c r="AA49" s="56" t="n"/>
      <c r="AB49" s="57" t="n">
        <v>0</v>
      </c>
      <c r="AC49" s="57" t="n"/>
    </row>
    <row r="50">
      <c r="A50" s="34">
        <f>신상품list!B42</f>
        <v/>
      </c>
      <c r="B50" s="34">
        <f>신상품list!C42</f>
        <v/>
      </c>
      <c r="C50" s="34">
        <f>신상품list!D42</f>
        <v/>
      </c>
      <c r="D50" s="34">
        <f>신상품list!E42&amp;""</f>
        <v/>
      </c>
      <c r="E50" s="34">
        <f>신상품list!F42</f>
        <v/>
      </c>
      <c r="F50" s="35">
        <f>신상품list!H42</f>
        <v/>
      </c>
      <c r="G50" s="51">
        <f>IF(신상품list!I42="","전체",신상품list!I42)</f>
        <v/>
      </c>
      <c r="H50" s="72">
        <f>SUMIFS(매출원천!C:C,매출원천!$A:$A,$D50,매출원천!$B:$B,IF($G50="전체","*",$G50))</f>
        <v/>
      </c>
      <c r="I50" s="72">
        <f>SUMIFS(매출원천!D:D,매출원천!$A:$A,$D50,매출원천!$B:$B,IF($G50="전체","*",$G50))</f>
        <v/>
      </c>
      <c r="J50" s="72">
        <f>SUMIFS(매출원천!E:E,매출원천!$A:$A,$D50,매출원천!$B:$B,IF($G50="전체","*",$G50))</f>
        <v/>
      </c>
      <c r="K50" s="72">
        <f>SUMIFS(매출원천!F:F,매출원천!$A:$A,$D50,매출원천!$B:$B,IF($G50="전체","*",$G50))</f>
        <v/>
      </c>
      <c r="L50" s="72">
        <f>SUMIFS(매출원천!G:G,매출원천!$A:$A,$D50,매출원천!$B:$B,IF($G50="전체","*",$G50))</f>
        <v/>
      </c>
      <c r="M50" s="72">
        <f>SUMIFS(매출원천!H:H,매출원천!$A:$A,$D50,매출원천!$B:$B,IF($G50="전체","*",$G50))</f>
        <v/>
      </c>
      <c r="N50" s="72">
        <f>SUMIFS(매출원천!I:I,매출원천!$A:$A,$D50,매출원천!$B:$B,IF($G50="전체","*",$G50))</f>
        <v/>
      </c>
      <c r="O50" s="72">
        <f>SUMIFS(매출원천!J:J,매출원천!$A:$A,$D50,매출원천!$B:$B,IF($G50="전체","*",$G50))</f>
        <v/>
      </c>
      <c r="P50" s="72">
        <f>SUMIFS(매출원천!K:K,매출원천!$A:$A,$D50,매출원천!$B:$B,IF($G50="전체","*",$G50))</f>
        <v/>
      </c>
      <c r="Q50" s="72">
        <f>SUMIFS(매출원천!L:L,매출원천!$A:$A,$D50,매출원천!$B:$B,IF($G50="전체","*",$G50))</f>
        <v/>
      </c>
      <c r="R50" s="52">
        <f>COUNTIF(H50:Q50,"&gt;0")</f>
        <v/>
      </c>
      <c r="S50" s="52">
        <f>IF($F50="",0,(YEAR($D$8)-YEAR($F50))*12+MONTH($D$8)-MONTH($F50)+1)</f>
        <v/>
      </c>
      <c r="T50" s="73">
        <f>MAX(H50:Q50)</f>
        <v/>
      </c>
      <c r="U50" s="73">
        <f>IF($Z50&lt;&gt;"",$Z50,IF($F50&gt;=$D$6,"신상품",IF(AND($R50&lt;=$D$7,$S50&gt;$D$7),"스팟","기존")))</f>
        <v/>
      </c>
      <c r="V50" s="74">
        <f>IF($U50="신상품",IF($F50&lt;=EOMONTH(V$9,0),$D$5,0),IF($U50="스팟",$Q50,$Q50*$D$4))*IF($AB50="",1,$AB50)</f>
        <v/>
      </c>
      <c r="W50" s="74">
        <f>IF($U50="신상품",IF($F50&lt;=EOMONTH(W$9,0),$D$5,0),IF($U50="스팟",0,IF($AA50="월평균",AVERAGEIF($H50:$P50,"&gt;0"),IF($AA50="9월",$P50,IF($AA50="10월",$V50,$T50)))))*IF($AC50="",1,$AC50)</f>
        <v/>
      </c>
      <c r="X50" s="74">
        <f>IF($U50="신상품",IF($F50&lt;=EOMONTH(X$9,0),$D$5,0),IF($U50="스팟",0,IF($AA50="월평균",AVERAGEIF($H50:$P50,"&gt;0"),IF($AA50="9월",$P50,IF($AA50="10월",$V50,$T50)))))</f>
        <v/>
      </c>
      <c r="Y50" s="75">
        <f>SUM(H50:P50)+SUM(V50:X50)</f>
        <v/>
      </c>
      <c r="Z50" s="56" t="n"/>
      <c r="AA50" s="56" t="n"/>
      <c r="AB50" s="57" t="n">
        <v>0</v>
      </c>
      <c r="AC50" s="57" t="n"/>
    </row>
    <row r="51">
      <c r="A51" s="34">
        <f>신상품list!B43</f>
        <v/>
      </c>
      <c r="B51" s="34">
        <f>신상품list!C43</f>
        <v/>
      </c>
      <c r="C51" s="34">
        <f>신상품list!D43</f>
        <v/>
      </c>
      <c r="D51" s="34">
        <f>신상품list!E43&amp;""</f>
        <v/>
      </c>
      <c r="E51" s="34">
        <f>신상품list!F43</f>
        <v/>
      </c>
      <c r="F51" s="35">
        <f>신상품list!H43</f>
        <v/>
      </c>
      <c r="G51" s="51">
        <f>IF(신상품list!I43="","전체",신상품list!I43)</f>
        <v/>
      </c>
      <c r="H51" s="72">
        <f>SUMIFS(매출원천!C:C,매출원천!$A:$A,$D51,매출원천!$B:$B,IF($G51="전체","*",$G51))</f>
        <v/>
      </c>
      <c r="I51" s="72">
        <f>SUMIFS(매출원천!D:D,매출원천!$A:$A,$D51,매출원천!$B:$B,IF($G51="전체","*",$G51))</f>
        <v/>
      </c>
      <c r="J51" s="72">
        <f>SUMIFS(매출원천!E:E,매출원천!$A:$A,$D51,매출원천!$B:$B,IF($G51="전체","*",$G51))</f>
        <v/>
      </c>
      <c r="K51" s="72">
        <f>SUMIFS(매출원천!F:F,매출원천!$A:$A,$D51,매출원천!$B:$B,IF($G51="전체","*",$G51))</f>
        <v/>
      </c>
      <c r="L51" s="72">
        <f>SUMIFS(매출원천!G:G,매출원천!$A:$A,$D51,매출원천!$B:$B,IF($G51="전체","*",$G51))</f>
        <v/>
      </c>
      <c r="M51" s="72">
        <f>SUMIFS(매출원천!H:H,매출원천!$A:$A,$D51,매출원천!$B:$B,IF($G51="전체","*",$G51))</f>
        <v/>
      </c>
      <c r="N51" s="72">
        <f>SUMIFS(매출원천!I:I,매출원천!$A:$A,$D51,매출원천!$B:$B,IF($G51="전체","*",$G51))</f>
        <v/>
      </c>
      <c r="O51" s="72">
        <f>SUMIFS(매출원천!J:J,매출원천!$A:$A,$D51,매출원천!$B:$B,IF($G51="전체","*",$G51))</f>
        <v/>
      </c>
      <c r="P51" s="72">
        <f>SUMIFS(매출원천!K:K,매출원천!$A:$A,$D51,매출원천!$B:$B,IF($G51="전체","*",$G51))</f>
        <v/>
      </c>
      <c r="Q51" s="72">
        <f>SUMIFS(매출원천!L:L,매출원천!$A:$A,$D51,매출원천!$B:$B,IF($G51="전체","*",$G51))</f>
        <v/>
      </c>
      <c r="R51" s="52">
        <f>COUNTIF(H51:Q51,"&gt;0")</f>
        <v/>
      </c>
      <c r="S51" s="52">
        <f>IF($F51="",0,(YEAR($D$8)-YEAR($F51))*12+MONTH($D$8)-MONTH($F51)+1)</f>
        <v/>
      </c>
      <c r="T51" s="73">
        <f>MAX(H51:Q51)</f>
        <v/>
      </c>
      <c r="U51" s="73">
        <f>IF($Z51&lt;&gt;"",$Z51,IF($F51&gt;=$D$6,"신상품",IF(AND($R51&lt;=$D$7,$S51&gt;$D$7),"스팟","기존")))</f>
        <v/>
      </c>
      <c r="V51" s="74">
        <f>IF($U51="신상품",IF($F51&lt;=EOMONTH(V$9,0),$D$5,0),IF($U51="스팟",$Q51,$Q51*$D$4))*IF($AB51="",1,$AB51)</f>
        <v/>
      </c>
      <c r="W51" s="74">
        <f>IF($U51="신상품",IF($F51&lt;=EOMONTH(W$9,0),$D$5,0),IF($U51="스팟",0,IF($AA51="월평균",AVERAGEIF($H51:$P51,"&gt;0"),IF($AA51="9월",$P51,IF($AA51="10월",$V51,$T51)))))*IF($AC51="",1,$AC51)</f>
        <v/>
      </c>
      <c r="X51" s="74">
        <f>IF($U51="신상품",IF($F51&lt;=EOMONTH(X$9,0),$D$5,0),IF($U51="스팟",0,IF($AA51="월평균",AVERAGEIF($H51:$P51,"&gt;0"),IF($AA51="9월",$P51,IF($AA51="10월",$V51,$T51)))))</f>
        <v/>
      </c>
      <c r="Y51" s="75">
        <f>SUM(H51:P51)+SUM(V51:X51)</f>
        <v/>
      </c>
      <c r="Z51" s="56" t="n"/>
      <c r="AA51" s="56" t="n"/>
      <c r="AB51" s="57" t="n">
        <v>0</v>
      </c>
      <c r="AC51" s="57" t="n"/>
    </row>
    <row r="52" hidden="1" s="60">
      <c r="A52" s="34">
        <f>신상품list!B44</f>
        <v/>
      </c>
      <c r="B52" s="34">
        <f>신상품list!C44</f>
        <v/>
      </c>
      <c r="C52" s="34">
        <f>신상품list!D44</f>
        <v/>
      </c>
      <c r="D52" s="34">
        <f>신상품list!E44&amp;""</f>
        <v/>
      </c>
      <c r="E52" s="34">
        <f>신상품list!F44</f>
        <v/>
      </c>
      <c r="F52" s="35">
        <f>신상품list!H44</f>
        <v/>
      </c>
      <c r="G52" s="51">
        <f>IF(신상품list!I44="","전체",신상품list!I44)</f>
        <v/>
      </c>
      <c r="H52" s="72">
        <f>SUMIFS(매출원천!C:C,매출원천!$A:$A,$D52,매출원천!$B:$B,IF($G52="전체","*",$G52))</f>
        <v/>
      </c>
      <c r="I52" s="72">
        <f>SUMIFS(매출원천!D:D,매출원천!$A:$A,$D52,매출원천!$B:$B,IF($G52="전체","*",$G52))</f>
        <v/>
      </c>
      <c r="J52" s="72">
        <f>SUMIFS(매출원천!E:E,매출원천!$A:$A,$D52,매출원천!$B:$B,IF($G52="전체","*",$G52))</f>
        <v/>
      </c>
      <c r="K52" s="72">
        <f>SUMIFS(매출원천!F:F,매출원천!$A:$A,$D52,매출원천!$B:$B,IF($G52="전체","*",$G52))</f>
        <v/>
      </c>
      <c r="L52" s="72">
        <f>SUMIFS(매출원천!G:G,매출원천!$A:$A,$D52,매출원천!$B:$B,IF($G52="전체","*",$G52))</f>
        <v/>
      </c>
      <c r="M52" s="72">
        <f>SUMIFS(매출원천!H:H,매출원천!$A:$A,$D52,매출원천!$B:$B,IF($G52="전체","*",$G52))</f>
        <v/>
      </c>
      <c r="N52" s="72">
        <f>SUMIFS(매출원천!I:I,매출원천!$A:$A,$D52,매출원천!$B:$B,IF($G52="전체","*",$G52))</f>
        <v/>
      </c>
      <c r="O52" s="72">
        <f>SUMIFS(매출원천!J:J,매출원천!$A:$A,$D52,매출원천!$B:$B,IF($G52="전체","*",$G52))</f>
        <v/>
      </c>
      <c r="P52" s="72">
        <f>SUMIFS(매출원천!K:K,매출원천!$A:$A,$D52,매출원천!$B:$B,IF($G52="전체","*",$G52))</f>
        <v/>
      </c>
      <c r="Q52" s="72">
        <f>SUMIFS(매출원천!L:L,매출원천!$A:$A,$D52,매출원천!$B:$B,IF($G52="전체","*",$G52))</f>
        <v/>
      </c>
      <c r="R52" s="52">
        <f>COUNTIF(H52:Q52,"&gt;0")</f>
        <v/>
      </c>
      <c r="S52" s="52">
        <f>IF($F52="",0,(YEAR($D$8)-YEAR($F52))*12+MONTH($D$8)-MONTH($F52)+1)</f>
        <v/>
      </c>
      <c r="T52" s="73">
        <f>MAX(H52:Q52)</f>
        <v/>
      </c>
      <c r="U52" s="73">
        <f>IF($Z52&lt;&gt;"",$Z52,IF($F52&gt;=$D$6,"신상품",IF(AND($R52&lt;=$D$7,$S52&gt;$D$7),"스팟","기존")))</f>
        <v/>
      </c>
      <c r="V52" s="74">
        <f>IF($U52="신상품",IF($F52&lt;=EOMONTH(V$9,0),$D$5,0),IF($U52="스팟",$Q52,$Q52*$D$4))*IF($AB52="",1,$AB52)</f>
        <v/>
      </c>
      <c r="W52" s="74">
        <f>IF($U52="신상품",IF($F52&lt;=EOMONTH(W$9,0),$D$5,0),IF($U52="스팟",0,IF($AA52="월평균",AVERAGEIF($H52:$P52,"&gt;0"),IF($AA52="9월",$P52,IF($AA52="10월",$V52,$T52)))))*IF($AC52="",1,$AC52)</f>
        <v/>
      </c>
      <c r="X52" s="74">
        <f>IF($U52="신상품",IF($F52&lt;=EOMONTH(X$9,0),$D$5,0),IF($U52="스팟",0,IF($AA52="월평균",AVERAGEIF($H52:$P52,"&gt;0"),IF($AA52="9월",$P52,IF($AA52="10월",$V52,$T52)))))</f>
        <v/>
      </c>
      <c r="Y52" s="75">
        <f>SUM(H52:P52)+SUM(V52:X52)</f>
        <v/>
      </c>
      <c r="Z52" s="56" t="n"/>
      <c r="AA52" s="56" t="n"/>
      <c r="AB52" s="57" t="n">
        <v>0</v>
      </c>
      <c r="AC52" s="57" t="n"/>
    </row>
    <row r="53" hidden="1" s="60">
      <c r="A53" s="34">
        <f>신상품list!B45</f>
        <v/>
      </c>
      <c r="B53" s="34">
        <f>신상품list!C45</f>
        <v/>
      </c>
      <c r="C53" s="34">
        <f>신상품list!D45</f>
        <v/>
      </c>
      <c r="D53" s="34">
        <f>신상품list!E45&amp;""</f>
        <v/>
      </c>
      <c r="E53" s="34">
        <f>신상품list!F45</f>
        <v/>
      </c>
      <c r="F53" s="35">
        <f>신상품list!H45</f>
        <v/>
      </c>
      <c r="G53" s="51">
        <f>IF(신상품list!I45="","전체",신상품list!I45)</f>
        <v/>
      </c>
      <c r="H53" s="72">
        <f>SUMIFS(매출원천!C:C,매출원천!$A:$A,$D53,매출원천!$B:$B,IF($G53="전체","*",$G53))</f>
        <v/>
      </c>
      <c r="I53" s="72">
        <f>SUMIFS(매출원천!D:D,매출원천!$A:$A,$D53,매출원천!$B:$B,IF($G53="전체","*",$G53))</f>
        <v/>
      </c>
      <c r="J53" s="72">
        <f>SUMIFS(매출원천!E:E,매출원천!$A:$A,$D53,매출원천!$B:$B,IF($G53="전체","*",$G53))</f>
        <v/>
      </c>
      <c r="K53" s="72">
        <f>SUMIFS(매출원천!F:F,매출원천!$A:$A,$D53,매출원천!$B:$B,IF($G53="전체","*",$G53))</f>
        <v/>
      </c>
      <c r="L53" s="72">
        <f>SUMIFS(매출원천!G:G,매출원천!$A:$A,$D53,매출원천!$B:$B,IF($G53="전체","*",$G53))</f>
        <v/>
      </c>
      <c r="M53" s="72">
        <f>SUMIFS(매출원천!H:H,매출원천!$A:$A,$D53,매출원천!$B:$B,IF($G53="전체","*",$G53))</f>
        <v/>
      </c>
      <c r="N53" s="72">
        <f>SUMIFS(매출원천!I:I,매출원천!$A:$A,$D53,매출원천!$B:$B,IF($G53="전체","*",$G53))</f>
        <v/>
      </c>
      <c r="O53" s="72">
        <f>SUMIFS(매출원천!J:J,매출원천!$A:$A,$D53,매출원천!$B:$B,IF($G53="전체","*",$G53))</f>
        <v/>
      </c>
      <c r="P53" s="72">
        <f>SUMIFS(매출원천!K:K,매출원천!$A:$A,$D53,매출원천!$B:$B,IF($G53="전체","*",$G53))</f>
        <v/>
      </c>
      <c r="Q53" s="72">
        <f>SUMIFS(매출원천!L:L,매출원천!$A:$A,$D53,매출원천!$B:$B,IF($G53="전체","*",$G53))</f>
        <v/>
      </c>
      <c r="R53" s="52">
        <f>COUNTIF(H53:Q53,"&gt;0")</f>
        <v/>
      </c>
      <c r="S53" s="52">
        <f>IF($F53="",0,(YEAR($D$8)-YEAR($F53))*12+MONTH($D$8)-MONTH($F53)+1)</f>
        <v/>
      </c>
      <c r="T53" s="73">
        <f>MAX(H53:Q53)</f>
        <v/>
      </c>
      <c r="U53" s="73">
        <f>IF($Z53&lt;&gt;"",$Z53,IF($F53&gt;=$D$6,"신상품",IF(AND($R53&lt;=$D$7,$S53&gt;$D$7),"스팟","기존")))</f>
        <v/>
      </c>
      <c r="V53" s="74">
        <f>IF($U53="신상품",IF($F53&lt;=EOMONTH(V$9,0),$D$5,0),IF($U53="스팟",$Q53,$Q53*$D$4))*IF($AB53="",1,$AB53)</f>
        <v/>
      </c>
      <c r="W53" s="74">
        <f>IF($U53="신상품",IF($F53&lt;=EOMONTH(W$9,0),$D$5,0),IF($U53="스팟",0,IF($AA53="월평균",AVERAGEIF($H53:$P53,"&gt;0"),IF($AA53="9월",$P53,IF($AA53="10월",$V53,$T53)))))*IF($AC53="",1,$AC53)</f>
        <v/>
      </c>
      <c r="X53" s="74">
        <f>IF($U53="신상품",IF($F53&lt;=EOMONTH(X$9,0),$D$5,0),IF($U53="스팟",0,IF($AA53="월평균",AVERAGEIF($H53:$P53,"&gt;0"),IF($AA53="9월",$P53,IF($AA53="10월",$V53,$T53)))))</f>
        <v/>
      </c>
      <c r="Y53" s="75">
        <f>SUM(H53:P53)+SUM(V53:X53)</f>
        <v/>
      </c>
      <c r="Z53" s="56" t="n"/>
      <c r="AA53" s="56" t="n"/>
      <c r="AB53" s="57" t="n">
        <v>0</v>
      </c>
      <c r="AC53" s="57" t="n"/>
    </row>
    <row r="54" hidden="1" s="60">
      <c r="A54" s="34">
        <f>신상품list!B46</f>
        <v/>
      </c>
      <c r="B54" s="34">
        <f>신상품list!C46</f>
        <v/>
      </c>
      <c r="C54" s="34">
        <f>신상품list!D46</f>
        <v/>
      </c>
      <c r="D54" s="34">
        <f>신상품list!E46&amp;""</f>
        <v/>
      </c>
      <c r="E54" s="34">
        <f>신상품list!F46</f>
        <v/>
      </c>
      <c r="F54" s="35">
        <f>신상품list!H46</f>
        <v/>
      </c>
      <c r="G54" s="51">
        <f>IF(신상품list!I46="","전체",신상품list!I46)</f>
        <v/>
      </c>
      <c r="H54" s="72">
        <f>SUMIFS(매출원천!C:C,매출원천!$A:$A,$D54,매출원천!$B:$B,IF($G54="전체","*",$G54))</f>
        <v/>
      </c>
      <c r="I54" s="72">
        <f>SUMIFS(매출원천!D:D,매출원천!$A:$A,$D54,매출원천!$B:$B,IF($G54="전체","*",$G54))</f>
        <v/>
      </c>
      <c r="J54" s="72">
        <f>SUMIFS(매출원천!E:E,매출원천!$A:$A,$D54,매출원천!$B:$B,IF($G54="전체","*",$G54))</f>
        <v/>
      </c>
      <c r="K54" s="72">
        <f>SUMIFS(매출원천!F:F,매출원천!$A:$A,$D54,매출원천!$B:$B,IF($G54="전체","*",$G54))</f>
        <v/>
      </c>
      <c r="L54" s="72">
        <f>SUMIFS(매출원천!G:G,매출원천!$A:$A,$D54,매출원천!$B:$B,IF($G54="전체","*",$G54))</f>
        <v/>
      </c>
      <c r="M54" s="72">
        <f>SUMIFS(매출원천!H:H,매출원천!$A:$A,$D54,매출원천!$B:$B,IF($G54="전체","*",$G54))</f>
        <v/>
      </c>
      <c r="N54" s="72">
        <f>SUMIFS(매출원천!I:I,매출원천!$A:$A,$D54,매출원천!$B:$B,IF($G54="전체","*",$G54))</f>
        <v/>
      </c>
      <c r="O54" s="72">
        <f>SUMIFS(매출원천!J:J,매출원천!$A:$A,$D54,매출원천!$B:$B,IF($G54="전체","*",$G54))</f>
        <v/>
      </c>
      <c r="P54" s="72">
        <f>SUMIFS(매출원천!K:K,매출원천!$A:$A,$D54,매출원천!$B:$B,IF($G54="전체","*",$G54))</f>
        <v/>
      </c>
      <c r="Q54" s="72">
        <f>SUMIFS(매출원천!L:L,매출원천!$A:$A,$D54,매출원천!$B:$B,IF($G54="전체","*",$G54))</f>
        <v/>
      </c>
      <c r="R54" s="52">
        <f>COUNTIF(H54:Q54,"&gt;0")</f>
        <v/>
      </c>
      <c r="S54" s="52">
        <f>IF($F54="",0,(YEAR($D$8)-YEAR($F54))*12+MONTH($D$8)-MONTH($F54)+1)</f>
        <v/>
      </c>
      <c r="T54" s="73">
        <f>MAX(H54:Q54)</f>
        <v/>
      </c>
      <c r="U54" s="73">
        <f>IF($Z54&lt;&gt;"",$Z54,IF($F54&gt;=$D$6,"신상품",IF(AND($R54&lt;=$D$7,$S54&gt;$D$7),"스팟","기존")))</f>
        <v/>
      </c>
      <c r="V54" s="74">
        <f>IF($U54="신상품",IF($F54&lt;=EOMONTH(V$9,0),$D$5,0),IF($U54="스팟",$Q54,$Q54*$D$4))*IF($AB54="",1,$AB54)</f>
        <v/>
      </c>
      <c r="W54" s="74">
        <f>IF($U54="신상품",IF($F54&lt;=EOMONTH(W$9,0),$D$5,0),IF($U54="스팟",0,IF($AA54="월평균",AVERAGEIF($H54:$P54,"&gt;0"),IF($AA54="9월",$P54,IF($AA54="10월",$V54,$T54)))))*IF($AC54="",1,$AC54)</f>
        <v/>
      </c>
      <c r="X54" s="74">
        <f>IF($U54="신상품",IF($F54&lt;=EOMONTH(X$9,0),$D$5,0),IF($U54="스팟",0,IF($AA54="월평균",AVERAGEIF($H54:$P54,"&gt;0"),IF($AA54="9월",$P54,IF($AA54="10월",$V54,$T54)))))</f>
        <v/>
      </c>
      <c r="Y54" s="75">
        <f>SUM(H54:P54)+SUM(V54:X54)</f>
        <v/>
      </c>
      <c r="Z54" s="56" t="n"/>
      <c r="AA54" s="56" t="n"/>
      <c r="AB54" s="57" t="n">
        <v>0</v>
      </c>
      <c r="AC54" s="57" t="n"/>
    </row>
    <row r="55" hidden="1" s="60">
      <c r="A55" s="34">
        <f>신상품list!B47</f>
        <v/>
      </c>
      <c r="B55" s="34">
        <f>신상품list!C47</f>
        <v/>
      </c>
      <c r="C55" s="34">
        <f>신상품list!D47</f>
        <v/>
      </c>
      <c r="D55" s="34">
        <f>신상품list!E47&amp;""</f>
        <v/>
      </c>
      <c r="E55" s="34">
        <f>신상품list!F47</f>
        <v/>
      </c>
      <c r="F55" s="35">
        <f>신상품list!H47</f>
        <v/>
      </c>
      <c r="G55" s="51">
        <f>IF(신상품list!I47="","전체",신상품list!I47)</f>
        <v/>
      </c>
      <c r="H55" s="72">
        <f>SUMIFS(매출원천!C:C,매출원천!$A:$A,$D55,매출원천!$B:$B,IF($G55="전체","*",$G55))</f>
        <v/>
      </c>
      <c r="I55" s="72">
        <f>SUMIFS(매출원천!D:D,매출원천!$A:$A,$D55,매출원천!$B:$B,IF($G55="전체","*",$G55))</f>
        <v/>
      </c>
      <c r="J55" s="72">
        <f>SUMIFS(매출원천!E:E,매출원천!$A:$A,$D55,매출원천!$B:$B,IF($G55="전체","*",$G55))</f>
        <v/>
      </c>
      <c r="K55" s="72">
        <f>SUMIFS(매출원천!F:F,매출원천!$A:$A,$D55,매출원천!$B:$B,IF($G55="전체","*",$G55))</f>
        <v/>
      </c>
      <c r="L55" s="72">
        <f>SUMIFS(매출원천!G:G,매출원천!$A:$A,$D55,매출원천!$B:$B,IF($G55="전체","*",$G55))</f>
        <v/>
      </c>
      <c r="M55" s="72">
        <f>SUMIFS(매출원천!H:H,매출원천!$A:$A,$D55,매출원천!$B:$B,IF($G55="전체","*",$G55))</f>
        <v/>
      </c>
      <c r="N55" s="72">
        <f>SUMIFS(매출원천!I:I,매출원천!$A:$A,$D55,매출원천!$B:$B,IF($G55="전체","*",$G55))</f>
        <v/>
      </c>
      <c r="O55" s="72">
        <f>SUMIFS(매출원천!J:J,매출원천!$A:$A,$D55,매출원천!$B:$B,IF($G55="전체","*",$G55))</f>
        <v/>
      </c>
      <c r="P55" s="72">
        <f>SUMIFS(매출원천!K:K,매출원천!$A:$A,$D55,매출원천!$B:$B,IF($G55="전체","*",$G55))</f>
        <v/>
      </c>
      <c r="Q55" s="72">
        <f>SUMIFS(매출원천!L:L,매출원천!$A:$A,$D55,매출원천!$B:$B,IF($G55="전체","*",$G55))</f>
        <v/>
      </c>
      <c r="R55" s="52">
        <f>COUNTIF(H55:Q55,"&gt;0")</f>
        <v/>
      </c>
      <c r="S55" s="52">
        <f>IF($F55="",0,(YEAR($D$8)-YEAR($F55))*12+MONTH($D$8)-MONTH($F55)+1)</f>
        <v/>
      </c>
      <c r="T55" s="73">
        <f>MAX(H55:Q55)</f>
        <v/>
      </c>
      <c r="U55" s="73">
        <f>IF($Z55&lt;&gt;"",$Z55,IF($F55&gt;=$D$6,"신상품",IF(AND($R55&lt;=$D$7,$S55&gt;$D$7),"스팟","기존")))</f>
        <v/>
      </c>
      <c r="V55" s="74">
        <f>IF($U55="신상품",IF($F55&lt;=EOMONTH(V$9,0),$D$5,0),IF($U55="스팟",$Q55,$Q55*$D$4))*IF($AB55="",1,$AB55)</f>
        <v/>
      </c>
      <c r="W55" s="74">
        <f>IF($U55="신상품",IF($F55&lt;=EOMONTH(W$9,0),$D$5,0),IF($U55="스팟",0,IF($AA55="월평균",AVERAGEIF($H55:$P55,"&gt;0"),IF($AA55="9월",$P55,IF($AA55="10월",$V55,$T55)))))*IF($AC55="",1,$AC55)</f>
        <v/>
      </c>
      <c r="X55" s="74">
        <f>IF($U55="신상품",IF($F55&lt;=EOMONTH(X$9,0),$D$5,0),IF($U55="스팟",0,IF($AA55="월평균",AVERAGEIF($H55:$P55,"&gt;0"),IF($AA55="9월",$P55,IF($AA55="10월",$V55,$T55)))))</f>
        <v/>
      </c>
      <c r="Y55" s="75">
        <f>SUM(H55:P55)+SUM(V55:X55)</f>
        <v/>
      </c>
      <c r="Z55" s="56" t="n"/>
      <c r="AA55" s="56" t="n"/>
      <c r="AB55" s="57" t="n">
        <v>0</v>
      </c>
      <c r="AC55" s="57" t="n"/>
    </row>
    <row r="56">
      <c r="A56" s="34">
        <f>신상품list!B48</f>
        <v/>
      </c>
      <c r="B56" s="34">
        <f>신상품list!C48</f>
        <v/>
      </c>
      <c r="C56" s="34">
        <f>신상품list!D48</f>
        <v/>
      </c>
      <c r="D56" s="34">
        <f>신상품list!E48&amp;""</f>
        <v/>
      </c>
      <c r="E56" s="34">
        <f>신상품list!F48</f>
        <v/>
      </c>
      <c r="F56" s="35">
        <f>신상품list!H48</f>
        <v/>
      </c>
      <c r="G56" s="51">
        <f>IF(신상품list!I48="","전체",신상품list!I48)</f>
        <v/>
      </c>
      <c r="H56" s="72">
        <f>SUMIFS(매출원천!C:C,매출원천!$A:$A,$D56,매출원천!$B:$B,IF($G56="전체","*",$G56))</f>
        <v/>
      </c>
      <c r="I56" s="72">
        <f>SUMIFS(매출원천!D:D,매출원천!$A:$A,$D56,매출원천!$B:$B,IF($G56="전체","*",$G56))</f>
        <v/>
      </c>
      <c r="J56" s="72">
        <f>SUMIFS(매출원천!E:E,매출원천!$A:$A,$D56,매출원천!$B:$B,IF($G56="전체","*",$G56))</f>
        <v/>
      </c>
      <c r="K56" s="72">
        <f>SUMIFS(매출원천!F:F,매출원천!$A:$A,$D56,매출원천!$B:$B,IF($G56="전체","*",$G56))</f>
        <v/>
      </c>
      <c r="L56" s="72">
        <f>SUMIFS(매출원천!G:G,매출원천!$A:$A,$D56,매출원천!$B:$B,IF($G56="전체","*",$G56))</f>
        <v/>
      </c>
      <c r="M56" s="72">
        <f>SUMIFS(매출원천!H:H,매출원천!$A:$A,$D56,매출원천!$B:$B,IF($G56="전체","*",$G56))</f>
        <v/>
      </c>
      <c r="N56" s="72">
        <f>SUMIFS(매출원천!I:I,매출원천!$A:$A,$D56,매출원천!$B:$B,IF($G56="전체","*",$G56))</f>
        <v/>
      </c>
      <c r="O56" s="72">
        <f>SUMIFS(매출원천!J:J,매출원천!$A:$A,$D56,매출원천!$B:$B,IF($G56="전체","*",$G56))</f>
        <v/>
      </c>
      <c r="P56" s="72">
        <f>SUMIFS(매출원천!K:K,매출원천!$A:$A,$D56,매출원천!$B:$B,IF($G56="전체","*",$G56))</f>
        <v/>
      </c>
      <c r="Q56" s="72">
        <f>SUMIFS(매출원천!L:L,매출원천!$A:$A,$D56,매출원천!$B:$B,IF($G56="전체","*",$G56))</f>
        <v/>
      </c>
      <c r="R56" s="52">
        <f>COUNTIF(H56:Q56,"&gt;0")</f>
        <v/>
      </c>
      <c r="S56" s="52">
        <f>IF($F56="",0,(YEAR($D$8)-YEAR($F56))*12+MONTH($D$8)-MONTH($F56)+1)</f>
        <v/>
      </c>
      <c r="T56" s="73">
        <f>MAX(H56:Q56)</f>
        <v/>
      </c>
      <c r="U56" s="73">
        <f>IF($Z56&lt;&gt;"",$Z56,IF($F56&gt;=$D$6,"신상품",IF(AND($R56&lt;=$D$7,$S56&gt;$D$7),"스팟","기존")))</f>
        <v/>
      </c>
      <c r="V56" s="74">
        <f>IF($U56="신상품",IF($F56&lt;=EOMONTH(V$9,0),$D$5,0),IF($U56="스팟",$Q56,$Q56*$D$4))*IF($AB56="",1,$AB56)</f>
        <v/>
      </c>
      <c r="W56" s="74">
        <f>IF($U56="신상품",IF($F56&lt;=EOMONTH(W$9,0),$D$5,0),IF($U56="스팟",0,IF($AA56="월평균",AVERAGEIF($H56:$P56,"&gt;0"),IF($AA56="9월",$P56,IF($AA56="10월",$V56,$T56)))))*IF($AC56="",1,$AC56)</f>
        <v/>
      </c>
      <c r="X56" s="74">
        <f>IF($U56="신상품",IF($F56&lt;=EOMONTH(X$9,0),$D$5,0),IF($U56="스팟",0,IF($AA56="월평균",AVERAGEIF($H56:$P56,"&gt;0"),IF($AA56="9월",$P56,IF($AA56="10월",$V56,$T56)))))</f>
        <v/>
      </c>
      <c r="Y56" s="75">
        <f>SUM(H56:P56)+SUM(V56:X56)</f>
        <v/>
      </c>
      <c r="Z56" s="56" t="n"/>
      <c r="AA56" s="56" t="n"/>
      <c r="AB56" s="57" t="n">
        <v>0</v>
      </c>
      <c r="AC56" s="57" t="n"/>
    </row>
    <row r="57">
      <c r="A57" s="34">
        <f>신상품list!B49</f>
        <v/>
      </c>
      <c r="B57" s="34">
        <f>신상품list!C49</f>
        <v/>
      </c>
      <c r="C57" s="34">
        <f>신상품list!D49</f>
        <v/>
      </c>
      <c r="D57" s="34">
        <f>신상품list!E49&amp;""</f>
        <v/>
      </c>
      <c r="E57" s="34">
        <f>신상품list!F49</f>
        <v/>
      </c>
      <c r="F57" s="35">
        <f>신상품list!H49</f>
        <v/>
      </c>
      <c r="G57" s="51">
        <f>IF(신상품list!I49="","전체",신상품list!I49)</f>
        <v/>
      </c>
      <c r="H57" s="72">
        <f>SUMIFS(매출원천!C:C,매출원천!$A:$A,$D57,매출원천!$B:$B,IF($G57="전체","*",$G57))</f>
        <v/>
      </c>
      <c r="I57" s="72">
        <f>SUMIFS(매출원천!D:D,매출원천!$A:$A,$D57,매출원천!$B:$B,IF($G57="전체","*",$G57))</f>
        <v/>
      </c>
      <c r="J57" s="72">
        <f>SUMIFS(매출원천!E:E,매출원천!$A:$A,$D57,매출원천!$B:$B,IF($G57="전체","*",$G57))</f>
        <v/>
      </c>
      <c r="K57" s="72">
        <f>SUMIFS(매출원천!F:F,매출원천!$A:$A,$D57,매출원천!$B:$B,IF($G57="전체","*",$G57))</f>
        <v/>
      </c>
      <c r="L57" s="72">
        <f>SUMIFS(매출원천!G:G,매출원천!$A:$A,$D57,매출원천!$B:$B,IF($G57="전체","*",$G57))</f>
        <v/>
      </c>
      <c r="M57" s="72">
        <f>SUMIFS(매출원천!H:H,매출원천!$A:$A,$D57,매출원천!$B:$B,IF($G57="전체","*",$G57))</f>
        <v/>
      </c>
      <c r="N57" s="72">
        <f>SUMIFS(매출원천!I:I,매출원천!$A:$A,$D57,매출원천!$B:$B,IF($G57="전체","*",$G57))</f>
        <v/>
      </c>
      <c r="O57" s="72">
        <f>SUMIFS(매출원천!J:J,매출원천!$A:$A,$D57,매출원천!$B:$B,IF($G57="전체","*",$G57))</f>
        <v/>
      </c>
      <c r="P57" s="72">
        <f>SUMIFS(매출원천!K:K,매출원천!$A:$A,$D57,매출원천!$B:$B,IF($G57="전체","*",$G57))</f>
        <v/>
      </c>
      <c r="Q57" s="72">
        <f>SUMIFS(매출원천!L:L,매출원천!$A:$A,$D57,매출원천!$B:$B,IF($G57="전체","*",$G57))</f>
        <v/>
      </c>
      <c r="R57" s="52">
        <f>COUNTIF(H57:Q57,"&gt;0")</f>
        <v/>
      </c>
      <c r="S57" s="52">
        <f>IF($F57="",0,(YEAR($D$8)-YEAR($F57))*12+MONTH($D$8)-MONTH($F57)+1)</f>
        <v/>
      </c>
      <c r="T57" s="73">
        <f>MAX(H57:Q57)</f>
        <v/>
      </c>
      <c r="U57" s="73">
        <f>IF($Z57&lt;&gt;"",$Z57,IF($F57&gt;=$D$6,"신상품",IF(AND($R57&lt;=$D$7,$S57&gt;$D$7),"스팟","기존")))</f>
        <v/>
      </c>
      <c r="V57" s="74">
        <f>IF($U57="신상품",IF($F57&lt;=EOMONTH(V$9,0),$D$5,0),IF($U57="스팟",$Q57,$Q57*$D$4))*IF($AB57="",1,$AB57)</f>
        <v/>
      </c>
      <c r="W57" s="74">
        <f>IF($U57="신상품",IF($F57&lt;=EOMONTH(W$9,0),$D$5,0),IF($U57="스팟",0,IF($AA57="월평균",AVERAGEIF($H57:$P57,"&gt;0"),IF($AA57="9월",$P57,IF($AA57="10월",$V57,$T57)))))*IF($AC57="",1,$AC57)</f>
        <v/>
      </c>
      <c r="X57" s="74">
        <f>IF($U57="신상품",IF($F57&lt;=EOMONTH(X$9,0),$D$5,0),IF($U57="스팟",0,IF($AA57="월평균",AVERAGEIF($H57:$P57,"&gt;0"),IF($AA57="9월",$P57,IF($AA57="10월",$V57,$T57)))))</f>
        <v/>
      </c>
      <c r="Y57" s="75">
        <f>SUM(H57:P57)+SUM(V57:X57)</f>
        <v/>
      </c>
      <c r="Z57" s="56" t="n"/>
      <c r="AA57" s="56" t="n"/>
      <c r="AB57" s="57" t="n">
        <v>0</v>
      </c>
      <c r="AC57" s="57" t="n"/>
    </row>
    <row r="58">
      <c r="A58" s="34">
        <f>신상품list!B50</f>
        <v/>
      </c>
      <c r="B58" s="34">
        <f>신상품list!C50</f>
        <v/>
      </c>
      <c r="C58" s="34">
        <f>신상품list!D50</f>
        <v/>
      </c>
      <c r="D58" s="34">
        <f>신상품list!E50&amp;""</f>
        <v/>
      </c>
      <c r="E58" s="34">
        <f>신상품list!F50</f>
        <v/>
      </c>
      <c r="F58" s="35">
        <f>신상품list!H50</f>
        <v/>
      </c>
      <c r="G58" s="51">
        <f>IF(신상품list!I50="","전체",신상품list!I50)</f>
        <v/>
      </c>
      <c r="H58" s="72">
        <f>SUMIFS(매출원천!C:C,매출원천!$A:$A,$D58,매출원천!$B:$B,IF($G58="전체","*",$G58))</f>
        <v/>
      </c>
      <c r="I58" s="72">
        <f>SUMIFS(매출원천!D:D,매출원천!$A:$A,$D58,매출원천!$B:$B,IF($G58="전체","*",$G58))</f>
        <v/>
      </c>
      <c r="J58" s="72">
        <f>SUMIFS(매출원천!E:E,매출원천!$A:$A,$D58,매출원천!$B:$B,IF($G58="전체","*",$G58))</f>
        <v/>
      </c>
      <c r="K58" s="72">
        <f>SUMIFS(매출원천!F:F,매출원천!$A:$A,$D58,매출원천!$B:$B,IF($G58="전체","*",$G58))</f>
        <v/>
      </c>
      <c r="L58" s="72">
        <f>SUMIFS(매출원천!G:G,매출원천!$A:$A,$D58,매출원천!$B:$B,IF($G58="전체","*",$G58))</f>
        <v/>
      </c>
      <c r="M58" s="72">
        <f>SUMIFS(매출원천!H:H,매출원천!$A:$A,$D58,매출원천!$B:$B,IF($G58="전체","*",$G58))</f>
        <v/>
      </c>
      <c r="N58" s="72">
        <f>SUMIFS(매출원천!I:I,매출원천!$A:$A,$D58,매출원천!$B:$B,IF($G58="전체","*",$G58))</f>
        <v/>
      </c>
      <c r="O58" s="72">
        <f>SUMIFS(매출원천!J:J,매출원천!$A:$A,$D58,매출원천!$B:$B,IF($G58="전체","*",$G58))</f>
        <v/>
      </c>
      <c r="P58" s="72">
        <f>SUMIFS(매출원천!K:K,매출원천!$A:$A,$D58,매출원천!$B:$B,IF($G58="전체","*",$G58))</f>
        <v/>
      </c>
      <c r="Q58" s="72">
        <f>SUMIFS(매출원천!L:L,매출원천!$A:$A,$D58,매출원천!$B:$B,IF($G58="전체","*",$G58))</f>
        <v/>
      </c>
      <c r="R58" s="52">
        <f>COUNTIF(H58:Q58,"&gt;0")</f>
        <v/>
      </c>
      <c r="S58" s="52">
        <f>IF($F58="",0,(YEAR($D$8)-YEAR($F58))*12+MONTH($D$8)-MONTH($F58)+1)</f>
        <v/>
      </c>
      <c r="T58" s="73">
        <f>MAX(H58:Q58)</f>
        <v/>
      </c>
      <c r="U58" s="73">
        <f>IF($Z58&lt;&gt;"",$Z58,IF($F58&gt;=$D$6,"신상품",IF(AND($R58&lt;=$D$7,$S58&gt;$D$7),"스팟","기존")))</f>
        <v/>
      </c>
      <c r="V58" s="74">
        <f>IF($U58="신상품",IF($F58&lt;=EOMONTH(V$9,0),$D$5,0),IF($U58="스팟",$Q58,$Q58*$D$4))*IF($AB58="",1,$AB58)</f>
        <v/>
      </c>
      <c r="W58" s="76">
        <f>X58*IF($AC58="",1,$AC58)</f>
        <v/>
      </c>
      <c r="X58" s="76" t="n">
        <v>26133333</v>
      </c>
      <c r="Y58" s="75">
        <f>SUM(H58:P58)+SUM(V58:X58)</f>
        <v/>
      </c>
      <c r="Z58" s="56" t="n"/>
      <c r="AA58" s="56" t="n"/>
      <c r="AB58" s="57" t="n"/>
      <c r="AC58" s="57" t="n">
        <v>0.5</v>
      </c>
    </row>
    <row r="59">
      <c r="A59" s="34">
        <f>신상품list!B51</f>
        <v/>
      </c>
      <c r="B59" s="34">
        <f>신상품list!C51</f>
        <v/>
      </c>
      <c r="C59" s="34">
        <f>신상품list!D51</f>
        <v/>
      </c>
      <c r="D59" s="34">
        <f>신상품list!E51&amp;""</f>
        <v/>
      </c>
      <c r="E59" s="34">
        <f>신상품list!F51</f>
        <v/>
      </c>
      <c r="F59" s="35">
        <f>신상품list!H51</f>
        <v/>
      </c>
      <c r="G59" s="51">
        <f>IF(신상품list!I51="","전체",신상품list!I51)</f>
        <v/>
      </c>
      <c r="H59" s="72">
        <f>SUMIFS(매출원천!C:C,매출원천!$A:$A,$D59,매출원천!$B:$B,IF($G59="전체","*",$G59))</f>
        <v/>
      </c>
      <c r="I59" s="72">
        <f>SUMIFS(매출원천!D:D,매출원천!$A:$A,$D59,매출원천!$B:$B,IF($G59="전체","*",$G59))</f>
        <v/>
      </c>
      <c r="J59" s="72">
        <f>SUMIFS(매출원천!E:E,매출원천!$A:$A,$D59,매출원천!$B:$B,IF($G59="전체","*",$G59))</f>
        <v/>
      </c>
      <c r="K59" s="72">
        <f>SUMIFS(매출원천!F:F,매출원천!$A:$A,$D59,매출원천!$B:$B,IF($G59="전체","*",$G59))</f>
        <v/>
      </c>
      <c r="L59" s="72">
        <f>SUMIFS(매출원천!G:G,매출원천!$A:$A,$D59,매출원천!$B:$B,IF($G59="전체","*",$G59))</f>
        <v/>
      </c>
      <c r="M59" s="72">
        <f>SUMIFS(매출원천!H:H,매출원천!$A:$A,$D59,매출원천!$B:$B,IF($G59="전체","*",$G59))</f>
        <v/>
      </c>
      <c r="N59" s="72">
        <f>SUMIFS(매출원천!I:I,매출원천!$A:$A,$D59,매출원천!$B:$B,IF($G59="전체","*",$G59))</f>
        <v/>
      </c>
      <c r="O59" s="72">
        <f>SUMIFS(매출원천!J:J,매출원천!$A:$A,$D59,매출원천!$B:$B,IF($G59="전체","*",$G59))</f>
        <v/>
      </c>
      <c r="P59" s="72">
        <f>SUMIFS(매출원천!K:K,매출원천!$A:$A,$D59,매출원천!$B:$B,IF($G59="전체","*",$G59))</f>
        <v/>
      </c>
      <c r="Q59" s="72">
        <f>SUMIFS(매출원천!L:L,매출원천!$A:$A,$D59,매출원천!$B:$B,IF($G59="전체","*",$G59))</f>
        <v/>
      </c>
      <c r="R59" s="52">
        <f>COUNTIF(H59:Q59,"&gt;0")</f>
        <v/>
      </c>
      <c r="S59" s="52">
        <f>IF($F59="",0,(YEAR($D$8)-YEAR($F59))*12+MONTH($D$8)-MONTH($F59)+1)</f>
        <v/>
      </c>
      <c r="T59" s="73">
        <f>MAX(H59:Q59)</f>
        <v/>
      </c>
      <c r="U59" s="73">
        <f>IF($Z59&lt;&gt;"",$Z59,IF($F59&gt;=$D$6,"신상품",IF(AND($R59&lt;=$D$7,$S59&gt;$D$7),"스팟","기존")))</f>
        <v/>
      </c>
      <c r="V59" s="74">
        <f>IF($U59="신상품",IF($F59&lt;=EOMONTH(V$9,0),$D$5,0),IF($U59="스팟",$Q59,$Q59*$D$4))*IF($AB59="",1,$AB59)</f>
        <v/>
      </c>
      <c r="W59" s="76">
        <f>X59*IF($AC59="",1,$AC59)</f>
        <v/>
      </c>
      <c r="X59" s="76" t="n">
        <v>16660000</v>
      </c>
      <c r="Y59" s="75">
        <f>SUM(H59:P59)+SUM(V59:X59)</f>
        <v/>
      </c>
      <c r="Z59" s="56" t="n"/>
      <c r="AA59" s="56" t="n"/>
      <c r="AB59" s="57" t="n"/>
      <c r="AC59" s="57" t="n">
        <v>0.5</v>
      </c>
    </row>
    <row r="60">
      <c r="A60" s="34">
        <f>신상품list!B52</f>
        <v/>
      </c>
      <c r="B60" s="34">
        <f>신상품list!C52</f>
        <v/>
      </c>
      <c r="C60" s="34">
        <f>신상품list!D52</f>
        <v/>
      </c>
      <c r="D60" s="34">
        <f>신상품list!E52&amp;""</f>
        <v/>
      </c>
      <c r="E60" s="34">
        <f>신상품list!F52</f>
        <v/>
      </c>
      <c r="F60" s="35">
        <f>신상품list!H52</f>
        <v/>
      </c>
      <c r="G60" s="51">
        <f>IF(신상품list!I52="","전체",신상품list!I52)</f>
        <v/>
      </c>
      <c r="H60" s="72">
        <f>SUMIFS(매출원천!C:C,매출원천!$A:$A,$D60,매출원천!$B:$B,IF($G60="전체","*",$G60))</f>
        <v/>
      </c>
      <c r="I60" s="72">
        <f>SUMIFS(매출원천!D:D,매출원천!$A:$A,$D60,매출원천!$B:$B,IF($G60="전체","*",$G60))</f>
        <v/>
      </c>
      <c r="J60" s="72">
        <f>SUMIFS(매출원천!E:E,매출원천!$A:$A,$D60,매출원천!$B:$B,IF($G60="전체","*",$G60))</f>
        <v/>
      </c>
      <c r="K60" s="72">
        <f>SUMIFS(매출원천!F:F,매출원천!$A:$A,$D60,매출원천!$B:$B,IF($G60="전체","*",$G60))</f>
        <v/>
      </c>
      <c r="L60" s="72">
        <f>SUMIFS(매출원천!G:G,매출원천!$A:$A,$D60,매출원천!$B:$B,IF($G60="전체","*",$G60))</f>
        <v/>
      </c>
      <c r="M60" s="72">
        <f>SUMIFS(매출원천!H:H,매출원천!$A:$A,$D60,매출원천!$B:$B,IF($G60="전체","*",$G60))</f>
        <v/>
      </c>
      <c r="N60" s="72">
        <f>SUMIFS(매출원천!I:I,매출원천!$A:$A,$D60,매출원천!$B:$B,IF($G60="전체","*",$G60))</f>
        <v/>
      </c>
      <c r="O60" s="72">
        <f>SUMIFS(매출원천!J:J,매출원천!$A:$A,$D60,매출원천!$B:$B,IF($G60="전체","*",$G60))</f>
        <v/>
      </c>
      <c r="P60" s="72">
        <f>SUMIFS(매출원천!K:K,매출원천!$A:$A,$D60,매출원천!$B:$B,IF($G60="전체","*",$G60))</f>
        <v/>
      </c>
      <c r="Q60" s="72">
        <f>SUMIFS(매출원천!L:L,매출원천!$A:$A,$D60,매출원천!$B:$B,IF($G60="전체","*",$G60))</f>
        <v/>
      </c>
      <c r="R60" s="52">
        <f>COUNTIF(H60:Q60,"&gt;0")</f>
        <v/>
      </c>
      <c r="S60" s="52">
        <f>IF($F60="",0,(YEAR($D$8)-YEAR($F60))*12+MONTH($D$8)-MONTH($F60)+1)</f>
        <v/>
      </c>
      <c r="T60" s="73">
        <f>MAX(H60:Q60)</f>
        <v/>
      </c>
      <c r="U60" s="73">
        <f>IF($Z60&lt;&gt;"",$Z60,IF($F60&gt;=$D$6,"신상품",IF(AND($R60&lt;=$D$7,$S60&gt;$D$7),"스팟","기존")))</f>
        <v/>
      </c>
      <c r="V60" s="74">
        <f>IF($U60="신상품",IF($F60&lt;=EOMONTH(V$9,0),$D$5,0),IF($U60="스팟",$Q60,$Q60*$D$4))*IF($AB60="",1,$AB60)</f>
        <v/>
      </c>
      <c r="W60" s="76">
        <f>X60*IF($AC60="",1,$AC60)</f>
        <v/>
      </c>
      <c r="X60" s="76" t="n">
        <v>17941000</v>
      </c>
      <c r="Y60" s="75">
        <f>SUM(H60:P60)+SUM(V60:X60)</f>
        <v/>
      </c>
      <c r="Z60" s="56" t="n"/>
      <c r="AA60" s="56" t="n"/>
      <c r="AB60" s="57" t="n"/>
      <c r="AC60" s="57" t="n">
        <v>0.5</v>
      </c>
    </row>
    <row r="61">
      <c r="A61" s="34">
        <f>신상품list!B53</f>
        <v/>
      </c>
      <c r="B61" s="34">
        <f>신상품list!C53</f>
        <v/>
      </c>
      <c r="C61" s="34">
        <f>신상품list!D53</f>
        <v/>
      </c>
      <c r="D61" s="34">
        <f>신상품list!E53&amp;""</f>
        <v/>
      </c>
      <c r="E61" s="34">
        <f>신상품list!F53</f>
        <v/>
      </c>
      <c r="F61" s="35">
        <f>신상품list!H53</f>
        <v/>
      </c>
      <c r="G61" s="51">
        <f>IF(신상품list!I53="","전체",신상품list!I53)</f>
        <v/>
      </c>
      <c r="H61" s="72">
        <f>SUMIFS(매출원천!C:C,매출원천!$A:$A,$D61,매출원천!$B:$B,IF($G61="전체","*",$G61))</f>
        <v/>
      </c>
      <c r="I61" s="72">
        <f>SUMIFS(매출원천!D:D,매출원천!$A:$A,$D61,매출원천!$B:$B,IF($G61="전체","*",$G61))</f>
        <v/>
      </c>
      <c r="J61" s="72">
        <f>SUMIFS(매출원천!E:E,매출원천!$A:$A,$D61,매출원천!$B:$B,IF($G61="전체","*",$G61))</f>
        <v/>
      </c>
      <c r="K61" s="72">
        <f>SUMIFS(매출원천!F:F,매출원천!$A:$A,$D61,매출원천!$B:$B,IF($G61="전체","*",$G61))</f>
        <v/>
      </c>
      <c r="L61" s="72">
        <f>SUMIFS(매출원천!G:G,매출원천!$A:$A,$D61,매출원천!$B:$B,IF($G61="전체","*",$G61))</f>
        <v/>
      </c>
      <c r="M61" s="72">
        <f>SUMIFS(매출원천!H:H,매출원천!$A:$A,$D61,매출원천!$B:$B,IF($G61="전체","*",$G61))</f>
        <v/>
      </c>
      <c r="N61" s="72">
        <f>SUMIFS(매출원천!I:I,매출원천!$A:$A,$D61,매출원천!$B:$B,IF($G61="전체","*",$G61))</f>
        <v/>
      </c>
      <c r="O61" s="72">
        <f>SUMIFS(매출원천!J:J,매출원천!$A:$A,$D61,매출원천!$B:$B,IF($G61="전체","*",$G61))</f>
        <v/>
      </c>
      <c r="P61" s="72">
        <f>SUMIFS(매출원천!K:K,매출원천!$A:$A,$D61,매출원천!$B:$B,IF($G61="전체","*",$G61))</f>
        <v/>
      </c>
      <c r="Q61" s="72">
        <f>SUMIFS(매출원천!L:L,매출원천!$A:$A,$D61,매출원천!$B:$B,IF($G61="전체","*",$G61))</f>
        <v/>
      </c>
      <c r="R61" s="52">
        <f>COUNTIF(H61:Q61,"&gt;0")</f>
        <v/>
      </c>
      <c r="S61" s="52">
        <f>IF($F61="",0,(YEAR($D$8)-YEAR($F61))*12+MONTH($D$8)-MONTH($F61)+1)</f>
        <v/>
      </c>
      <c r="T61" s="73">
        <f>MAX(H61:Q61)</f>
        <v/>
      </c>
      <c r="U61" s="73">
        <f>IF($Z61&lt;&gt;"",$Z61,IF($F61&gt;=$D$6,"신상품",IF(AND($R61&lt;=$D$7,$S61&gt;$D$7),"스팟","기존")))</f>
        <v/>
      </c>
      <c r="V61" s="74">
        <f>IF($U61="신상품",IF($F61&lt;=EOMONTH(V$9,0),$D$5,0),IF($U61="스팟",$Q61,$Q61*$D$4))*IF($AB61="",1,$AB61)</f>
        <v/>
      </c>
      <c r="W61" s="74">
        <f>IF($U61="신상품",IF($F61&lt;=EOMONTH(W$9,0),$D$5,0),IF($U61="스팟",0,IF($AA61="월평균",AVERAGEIF($H61:$P61,"&gt;0"),IF($AA61="9월",$P61,IF($AA61="10월",$V61,$T61)))))*IF($AC61="",1,$AC61)</f>
        <v/>
      </c>
      <c r="X61" s="74">
        <f>IF($U61="신상품",IF($F61&lt;=EOMONTH(X$9,0),$D$5,0),IF($U61="스팟",0,IF($AA61="월평균",AVERAGEIF($H61:$P61,"&gt;0"),IF($AA61="9월",$P61,IF($AA61="10월",$V61,$T61)))))</f>
        <v/>
      </c>
      <c r="Y61" s="75">
        <f>SUM(H61:P61)+SUM(V61:X61)</f>
        <v/>
      </c>
      <c r="Z61" s="56" t="n"/>
      <c r="AA61" s="56" t="n"/>
      <c r="AB61" s="57" t="n"/>
      <c r="AC61" s="57" t="n">
        <v>0.5</v>
      </c>
    </row>
    <row r="62">
      <c r="A62" s="34">
        <f>신상품list!B54</f>
        <v/>
      </c>
      <c r="B62" s="34">
        <f>신상품list!C54</f>
        <v/>
      </c>
      <c r="C62" s="34">
        <f>신상품list!D54</f>
        <v/>
      </c>
      <c r="D62" s="34">
        <f>신상품list!E54&amp;""</f>
        <v/>
      </c>
      <c r="E62" s="34">
        <f>신상품list!F54</f>
        <v/>
      </c>
      <c r="F62" s="35">
        <f>신상품list!H54</f>
        <v/>
      </c>
      <c r="G62" s="51">
        <f>IF(신상품list!I54="","전체",신상품list!I54)</f>
        <v/>
      </c>
      <c r="H62" s="72">
        <f>SUMIFS(매출원천!C:C,매출원천!$A:$A,$D62,매출원천!$B:$B,IF($G62="전체","*",$G62))</f>
        <v/>
      </c>
      <c r="I62" s="72">
        <f>SUMIFS(매출원천!D:D,매출원천!$A:$A,$D62,매출원천!$B:$B,IF($G62="전체","*",$G62))</f>
        <v/>
      </c>
      <c r="J62" s="72">
        <f>SUMIFS(매출원천!E:E,매출원천!$A:$A,$D62,매출원천!$B:$B,IF($G62="전체","*",$G62))</f>
        <v/>
      </c>
      <c r="K62" s="72">
        <f>SUMIFS(매출원천!F:F,매출원천!$A:$A,$D62,매출원천!$B:$B,IF($G62="전체","*",$G62))</f>
        <v/>
      </c>
      <c r="L62" s="72">
        <f>SUMIFS(매출원천!G:G,매출원천!$A:$A,$D62,매출원천!$B:$B,IF($G62="전체","*",$G62))</f>
        <v/>
      </c>
      <c r="M62" s="72">
        <f>SUMIFS(매출원천!H:H,매출원천!$A:$A,$D62,매출원천!$B:$B,IF($G62="전체","*",$G62))</f>
        <v/>
      </c>
      <c r="N62" s="72">
        <f>SUMIFS(매출원천!I:I,매출원천!$A:$A,$D62,매출원천!$B:$B,IF($G62="전체","*",$G62))</f>
        <v/>
      </c>
      <c r="O62" s="72">
        <f>SUMIFS(매출원천!J:J,매출원천!$A:$A,$D62,매출원천!$B:$B,IF($G62="전체","*",$G62))</f>
        <v/>
      </c>
      <c r="P62" s="72">
        <f>SUMIFS(매출원천!K:K,매출원천!$A:$A,$D62,매출원천!$B:$B,IF($G62="전체","*",$G62))</f>
        <v/>
      </c>
      <c r="Q62" s="72">
        <f>SUMIFS(매출원천!L:L,매출원천!$A:$A,$D62,매출원천!$B:$B,IF($G62="전체","*",$G62))</f>
        <v/>
      </c>
      <c r="R62" s="52">
        <f>COUNTIF(H62:Q62,"&gt;0")</f>
        <v/>
      </c>
      <c r="S62" s="52">
        <f>IF($F62="",0,(YEAR($D$8)-YEAR($F62))*12+MONTH($D$8)-MONTH($F62)+1)</f>
        <v/>
      </c>
      <c r="T62" s="73">
        <f>MAX(H62:Q62)</f>
        <v/>
      </c>
      <c r="U62" s="73">
        <f>IF($Z62&lt;&gt;"",$Z62,IF($F62&gt;=$D$6,"신상품",IF(AND($R62&lt;=$D$7,$S62&gt;$D$7),"스팟","기존")))</f>
        <v/>
      </c>
      <c r="V62" s="74">
        <f>IF($U62="신상품",IF($F62&lt;=EOMONTH(V$9,0),$D$5,0),IF($U62="스팟",$Q62,$Q62*$D$4))*IF($AB62="",1,$AB62)</f>
        <v/>
      </c>
      <c r="W62" s="74">
        <f>IF($U62="신상품",IF($F62&lt;=EOMONTH(W$9,0),$D$5,0),IF($U62="스팟",0,IF($AA62="월평균",AVERAGEIF($H62:$P62,"&gt;0"),IF($AA62="9월",$P62,IF($AA62="10월",$V62,$T62)))))*IF($AC62="",1,$AC62)</f>
        <v/>
      </c>
      <c r="X62" s="74">
        <f>IF($U62="신상품",IF($F62&lt;=EOMONTH(X$9,0),$D$5,0),IF($U62="스팟",0,IF($AA62="월평균",AVERAGEIF($H62:$P62,"&gt;0"),IF($AA62="9월",$P62,IF($AA62="10월",$V62,$T62)))))</f>
        <v/>
      </c>
      <c r="Y62" s="75">
        <f>SUM(H62:P62)+SUM(V62:X62)</f>
        <v/>
      </c>
      <c r="Z62" s="56" t="n"/>
      <c r="AA62" s="56" t="n"/>
      <c r="AB62" s="57" t="n"/>
      <c r="AC62" s="57" t="n">
        <v>0.5</v>
      </c>
    </row>
    <row r="63">
      <c r="A63" s="34">
        <f>신상품list!B55</f>
        <v/>
      </c>
      <c r="B63" s="34">
        <f>신상품list!C55</f>
        <v/>
      </c>
      <c r="C63" s="34">
        <f>신상품list!D55</f>
        <v/>
      </c>
      <c r="D63" s="34">
        <f>신상품list!E55&amp;""</f>
        <v/>
      </c>
      <c r="E63" s="34">
        <f>신상품list!F55</f>
        <v/>
      </c>
      <c r="F63" s="35">
        <f>신상품list!H55</f>
        <v/>
      </c>
      <c r="G63" s="51">
        <f>IF(신상품list!I55="","전체",신상품list!I55)</f>
        <v/>
      </c>
      <c r="H63" s="72">
        <f>SUMIFS(매출원천!C:C,매출원천!$A:$A,$D63,매출원천!$B:$B,IF($G63="전체","*",$G63))</f>
        <v/>
      </c>
      <c r="I63" s="72">
        <f>SUMIFS(매출원천!D:D,매출원천!$A:$A,$D63,매출원천!$B:$B,IF($G63="전체","*",$G63))</f>
        <v/>
      </c>
      <c r="J63" s="72">
        <f>SUMIFS(매출원천!E:E,매출원천!$A:$A,$D63,매출원천!$B:$B,IF($G63="전체","*",$G63))</f>
        <v/>
      </c>
      <c r="K63" s="72">
        <f>SUMIFS(매출원천!F:F,매출원천!$A:$A,$D63,매출원천!$B:$B,IF($G63="전체","*",$G63))</f>
        <v/>
      </c>
      <c r="L63" s="72">
        <f>SUMIFS(매출원천!G:G,매출원천!$A:$A,$D63,매출원천!$B:$B,IF($G63="전체","*",$G63))</f>
        <v/>
      </c>
      <c r="M63" s="72">
        <f>SUMIFS(매출원천!H:H,매출원천!$A:$A,$D63,매출원천!$B:$B,IF($G63="전체","*",$G63))</f>
        <v/>
      </c>
      <c r="N63" s="72">
        <f>SUMIFS(매출원천!I:I,매출원천!$A:$A,$D63,매출원천!$B:$B,IF($G63="전체","*",$G63))</f>
        <v/>
      </c>
      <c r="O63" s="72">
        <f>SUMIFS(매출원천!J:J,매출원천!$A:$A,$D63,매출원천!$B:$B,IF($G63="전체","*",$G63))</f>
        <v/>
      </c>
      <c r="P63" s="72">
        <f>SUMIFS(매출원천!K:K,매출원천!$A:$A,$D63,매출원천!$B:$B,IF($G63="전체","*",$G63))</f>
        <v/>
      </c>
      <c r="Q63" s="72">
        <f>SUMIFS(매출원천!L:L,매출원천!$A:$A,$D63,매출원천!$B:$B,IF($G63="전체","*",$G63))</f>
        <v/>
      </c>
      <c r="R63" s="52">
        <f>COUNTIF(H63:Q63,"&gt;0")</f>
        <v/>
      </c>
      <c r="S63" s="52">
        <f>IF($F63="",0,(YEAR($D$8)-YEAR($F63))*12+MONTH($D$8)-MONTH($F63)+1)</f>
        <v/>
      </c>
      <c r="T63" s="73">
        <f>MAX(H63:Q63)</f>
        <v/>
      </c>
      <c r="U63" s="73">
        <f>IF($Z63&lt;&gt;"",$Z63,IF($F63&gt;=$D$6,"신상품",IF(AND($R63&lt;=$D$7,$S63&gt;$D$7),"스팟","기존")))</f>
        <v/>
      </c>
      <c r="V63" s="74">
        <f>IF($U63="신상품",IF($F63&lt;=EOMONTH(V$9,0),$D$5,0),IF($U63="스팟",$Q63,$Q63*$D$4))*IF($AB63="",1,$AB63)</f>
        <v/>
      </c>
      <c r="W63" s="74">
        <f>IF($U63="신상품",IF($F63&lt;=EOMONTH(W$9,0),$D$5,0),IF($U63="스팟",0,IF($AA63="월평균",AVERAGEIF($H63:$P63,"&gt;0"),IF($AA63="9월",$P63,IF($AA63="10월",$V63,$T63)))))*IF($AC63="",1,$AC63)</f>
        <v/>
      </c>
      <c r="X63" s="74">
        <f>IF($U63="신상품",IF($F63&lt;=EOMONTH(X$9,0),$D$5,0),IF($U63="스팟",0,IF($AA63="월평균",AVERAGEIF($H63:$P63,"&gt;0"),IF($AA63="9월",$P63,IF($AA63="10월",$V63,$T63)))))</f>
        <v/>
      </c>
      <c r="Y63" s="75">
        <f>SUM(H63:P63)+SUM(V63:X63)</f>
        <v/>
      </c>
      <c r="Z63" s="56" t="n"/>
      <c r="AA63" s="56" t="n"/>
      <c r="AB63" s="57" t="n"/>
      <c r="AC63" s="57" t="n">
        <v>0.5</v>
      </c>
    </row>
    <row r="64">
      <c r="A64" s="34">
        <f>신상품list!B56</f>
        <v/>
      </c>
      <c r="B64" s="34">
        <f>신상품list!C56</f>
        <v/>
      </c>
      <c r="C64" s="34">
        <f>신상품list!D56</f>
        <v/>
      </c>
      <c r="D64" s="34">
        <f>신상품list!E56&amp;""</f>
        <v/>
      </c>
      <c r="E64" s="34">
        <f>신상품list!F56</f>
        <v/>
      </c>
      <c r="F64" s="35">
        <f>신상품list!H56</f>
        <v/>
      </c>
      <c r="G64" s="51">
        <f>IF(신상품list!I56="","전체",신상품list!I56)</f>
        <v/>
      </c>
      <c r="H64" s="72">
        <f>SUMIFS(매출원천!C:C,매출원천!$A:$A,$D64,매출원천!$B:$B,IF($G64="전체","*",$G64))</f>
        <v/>
      </c>
      <c r="I64" s="72">
        <f>SUMIFS(매출원천!D:D,매출원천!$A:$A,$D64,매출원천!$B:$B,IF($G64="전체","*",$G64))</f>
        <v/>
      </c>
      <c r="J64" s="72">
        <f>SUMIFS(매출원천!E:E,매출원천!$A:$A,$D64,매출원천!$B:$B,IF($G64="전체","*",$G64))</f>
        <v/>
      </c>
      <c r="K64" s="72">
        <f>SUMIFS(매출원천!F:F,매출원천!$A:$A,$D64,매출원천!$B:$B,IF($G64="전체","*",$G64))</f>
        <v/>
      </c>
      <c r="L64" s="72">
        <f>SUMIFS(매출원천!G:G,매출원천!$A:$A,$D64,매출원천!$B:$B,IF($G64="전체","*",$G64))</f>
        <v/>
      </c>
      <c r="M64" s="72">
        <f>SUMIFS(매출원천!H:H,매출원천!$A:$A,$D64,매출원천!$B:$B,IF($G64="전체","*",$G64))</f>
        <v/>
      </c>
      <c r="N64" s="72">
        <f>SUMIFS(매출원천!I:I,매출원천!$A:$A,$D64,매출원천!$B:$B,IF($G64="전체","*",$G64))</f>
        <v/>
      </c>
      <c r="O64" s="72">
        <f>SUMIFS(매출원천!J:J,매출원천!$A:$A,$D64,매출원천!$B:$B,IF($G64="전체","*",$G64))</f>
        <v/>
      </c>
      <c r="P64" s="72">
        <f>SUMIFS(매출원천!K:K,매출원천!$A:$A,$D64,매출원천!$B:$B,IF($G64="전체","*",$G64))</f>
        <v/>
      </c>
      <c r="Q64" s="72">
        <f>SUMIFS(매출원천!L:L,매출원천!$A:$A,$D64,매출원천!$B:$B,IF($G64="전체","*",$G64))</f>
        <v/>
      </c>
      <c r="R64" s="52">
        <f>COUNTIF(H64:Q64,"&gt;0")</f>
        <v/>
      </c>
      <c r="S64" s="52">
        <f>IF($F64="",0,(YEAR($D$8)-YEAR($F64))*12+MONTH($D$8)-MONTH($F64)+1)</f>
        <v/>
      </c>
      <c r="T64" s="73">
        <f>MAX(H64:Q64)</f>
        <v/>
      </c>
      <c r="U64" s="73">
        <f>IF($Z64&lt;&gt;"",$Z64,IF($F64&gt;=$D$6,"신상품",IF(AND($R64&lt;=$D$7,$S64&gt;$D$7),"스팟","기존")))</f>
        <v/>
      </c>
      <c r="V64" s="74">
        <f>IF($U64="신상품",IF($F64&lt;=EOMONTH(V$9,0),$D$5,0),IF($U64="스팟",$Q64,$Q64*$D$4))*IF($AB64="",1,$AB64)</f>
        <v/>
      </c>
      <c r="W64" s="74">
        <f>IF($U64="신상품",IF($F64&lt;=EOMONTH(W$9,0),$D$5,0),IF($U64="스팟",0,IF($AA64="월평균",AVERAGEIF($H64:$P64,"&gt;0"),IF($AA64="9월",$P64,IF($AA64="10월",$V64,$T64)))))*IF($AC64="",1,$AC64)</f>
        <v/>
      </c>
      <c r="X64" s="74">
        <f>IF($U64="신상품",IF($F64&lt;=EOMONTH(X$9,0),$D$5,0),IF($U64="스팟",0,IF($AA64="월평균",AVERAGEIF($H64:$P64,"&gt;0"),IF($AA64="9월",$P64,IF($AA64="10월",$V64,$T64)))))</f>
        <v/>
      </c>
      <c r="Y64" s="75">
        <f>SUM(H64:P64)+SUM(V64:X64)</f>
        <v/>
      </c>
      <c r="Z64" s="56" t="n"/>
      <c r="AA64" s="56" t="n"/>
      <c r="AB64" s="57" t="n"/>
      <c r="AC64" s="57" t="n"/>
    </row>
    <row r="65">
      <c r="A65" s="34">
        <f>신상품list!B57</f>
        <v/>
      </c>
      <c r="B65" s="34">
        <f>신상품list!C57</f>
        <v/>
      </c>
      <c r="C65" s="34">
        <f>신상품list!D57</f>
        <v/>
      </c>
      <c r="D65" s="34">
        <f>신상품list!E57&amp;""</f>
        <v/>
      </c>
      <c r="E65" s="34">
        <f>신상품list!F57</f>
        <v/>
      </c>
      <c r="F65" s="35">
        <f>신상품list!H57</f>
        <v/>
      </c>
      <c r="G65" s="51">
        <f>IF(신상품list!I57="","전체",신상품list!I57)</f>
        <v/>
      </c>
      <c r="H65" s="72">
        <f>SUMIFS(매출원천!C:C,매출원천!$A:$A,$D65,매출원천!$B:$B,IF($G65="전체","*",$G65))</f>
        <v/>
      </c>
      <c r="I65" s="72">
        <f>SUMIFS(매출원천!D:D,매출원천!$A:$A,$D65,매출원천!$B:$B,IF($G65="전체","*",$G65))</f>
        <v/>
      </c>
      <c r="J65" s="72">
        <f>SUMIFS(매출원천!E:E,매출원천!$A:$A,$D65,매출원천!$B:$B,IF($G65="전체","*",$G65))</f>
        <v/>
      </c>
      <c r="K65" s="72">
        <f>SUMIFS(매출원천!F:F,매출원천!$A:$A,$D65,매출원천!$B:$B,IF($G65="전체","*",$G65))</f>
        <v/>
      </c>
      <c r="L65" s="72">
        <f>SUMIFS(매출원천!G:G,매출원천!$A:$A,$D65,매출원천!$B:$B,IF($G65="전체","*",$G65))</f>
        <v/>
      </c>
      <c r="M65" s="72">
        <f>SUMIFS(매출원천!H:H,매출원천!$A:$A,$D65,매출원천!$B:$B,IF($G65="전체","*",$G65))</f>
        <v/>
      </c>
      <c r="N65" s="72">
        <f>SUMIFS(매출원천!I:I,매출원천!$A:$A,$D65,매출원천!$B:$B,IF($G65="전체","*",$G65))</f>
        <v/>
      </c>
      <c r="O65" s="72">
        <f>SUMIFS(매출원천!J:J,매출원천!$A:$A,$D65,매출원천!$B:$B,IF($G65="전체","*",$G65))</f>
        <v/>
      </c>
      <c r="P65" s="72">
        <f>SUMIFS(매출원천!K:K,매출원천!$A:$A,$D65,매출원천!$B:$B,IF($G65="전체","*",$G65))</f>
        <v/>
      </c>
      <c r="Q65" s="72">
        <f>SUMIFS(매출원천!L:L,매출원천!$A:$A,$D65,매출원천!$B:$B,IF($G65="전체","*",$G65))</f>
        <v/>
      </c>
      <c r="R65" s="52">
        <f>COUNTIF(H65:Q65,"&gt;0")</f>
        <v/>
      </c>
      <c r="S65" s="52">
        <f>IF($F65="",0,(YEAR($D$8)-YEAR($F65))*12+MONTH($D$8)-MONTH($F65)+1)</f>
        <v/>
      </c>
      <c r="T65" s="73">
        <f>MAX(H65:Q65)</f>
        <v/>
      </c>
      <c r="U65" s="73">
        <f>IF($Z65&lt;&gt;"",$Z65,IF($F65&gt;=$D$6,"신상품",IF(AND($R65&lt;=$D$7,$S65&gt;$D$7),"스팟","기존")))</f>
        <v/>
      </c>
      <c r="V65" s="74">
        <f>IF($U65="신상품",IF($F65&lt;=EOMONTH(V$9,0),$D$5,0),IF($U65="스팟",$Q65,$Q65*$D$4))*IF($AB65="",1,$AB65)</f>
        <v/>
      </c>
      <c r="W65" s="74">
        <f>IF($U65="신상품",IF($F65&lt;=EOMONTH(W$9,0),$D$5,0),IF($U65="스팟",0,IF($AA65="월평균",AVERAGEIF($H65:$P65,"&gt;0"),IF($AA65="9월",$P65,IF($AA65="10월",$V65,$T65)))))*IF($AC65="",1,$AC65)</f>
        <v/>
      </c>
      <c r="X65" s="74">
        <f>IF($U65="신상품",IF($F65&lt;=EOMONTH(X$9,0),$D$5,0),IF($U65="스팟",0,IF($AA65="월평균",AVERAGEIF($H65:$P65,"&gt;0"),IF($AA65="9월",$P65,IF($AA65="10월",$V65,$T65)))))</f>
        <v/>
      </c>
      <c r="Y65" s="75">
        <f>SUM(H65:P65)+SUM(V65:X65)</f>
        <v/>
      </c>
      <c r="Z65" s="56" t="n"/>
      <c r="AA65" s="56" t="n"/>
      <c r="AB65" s="57" t="n"/>
      <c r="AC65" s="57" t="n"/>
    </row>
    <row r="66">
      <c r="A66" s="34">
        <f>신상품list!B58</f>
        <v/>
      </c>
      <c r="B66" s="34">
        <f>신상품list!C58</f>
        <v/>
      </c>
      <c r="C66" s="34">
        <f>신상품list!D58</f>
        <v/>
      </c>
      <c r="D66" s="34">
        <f>신상품list!E58&amp;""</f>
        <v/>
      </c>
      <c r="E66" s="34">
        <f>신상품list!F58</f>
        <v/>
      </c>
      <c r="F66" s="35">
        <f>신상품list!H58</f>
        <v/>
      </c>
      <c r="G66" s="51">
        <f>IF(신상품list!I58="","전체",신상품list!I58)</f>
        <v/>
      </c>
      <c r="H66" s="72">
        <f>SUMIFS(매출원천!C:C,매출원천!$A:$A,$D66,매출원천!$B:$B,IF($G66="전체","*",$G66))</f>
        <v/>
      </c>
      <c r="I66" s="72">
        <f>SUMIFS(매출원천!D:D,매출원천!$A:$A,$D66,매출원천!$B:$B,IF($G66="전체","*",$G66))</f>
        <v/>
      </c>
      <c r="J66" s="72">
        <f>SUMIFS(매출원천!E:E,매출원천!$A:$A,$D66,매출원천!$B:$B,IF($G66="전체","*",$G66))</f>
        <v/>
      </c>
      <c r="K66" s="72">
        <f>SUMIFS(매출원천!F:F,매출원천!$A:$A,$D66,매출원천!$B:$B,IF($G66="전체","*",$G66))</f>
        <v/>
      </c>
      <c r="L66" s="72">
        <f>SUMIFS(매출원천!G:G,매출원천!$A:$A,$D66,매출원천!$B:$B,IF($G66="전체","*",$G66))</f>
        <v/>
      </c>
      <c r="M66" s="72">
        <f>SUMIFS(매출원천!H:H,매출원천!$A:$A,$D66,매출원천!$B:$B,IF($G66="전체","*",$G66))</f>
        <v/>
      </c>
      <c r="N66" s="72">
        <f>SUMIFS(매출원천!I:I,매출원천!$A:$A,$D66,매출원천!$B:$B,IF($G66="전체","*",$G66))</f>
        <v/>
      </c>
      <c r="O66" s="72">
        <f>SUMIFS(매출원천!J:J,매출원천!$A:$A,$D66,매출원천!$B:$B,IF($G66="전체","*",$G66))</f>
        <v/>
      </c>
      <c r="P66" s="72">
        <f>SUMIFS(매출원천!K:K,매출원천!$A:$A,$D66,매출원천!$B:$B,IF($G66="전체","*",$G66))</f>
        <v/>
      </c>
      <c r="Q66" s="72">
        <f>SUMIFS(매출원천!L:L,매출원천!$A:$A,$D66,매출원천!$B:$B,IF($G66="전체","*",$G66))</f>
        <v/>
      </c>
      <c r="R66" s="52">
        <f>COUNTIF(H66:Q66,"&gt;0")</f>
        <v/>
      </c>
      <c r="S66" s="52">
        <f>IF($F66="",0,(YEAR($D$8)-YEAR($F66))*12+MONTH($D$8)-MONTH($F66)+1)</f>
        <v/>
      </c>
      <c r="T66" s="73">
        <f>MAX(H66:Q66)</f>
        <v/>
      </c>
      <c r="U66" s="73">
        <f>IF($Z66&lt;&gt;"",$Z66,IF($F66&gt;=$D$6,"신상품",IF(AND($R66&lt;=$D$7,$S66&gt;$D$7),"스팟","기존")))</f>
        <v/>
      </c>
      <c r="V66" s="74">
        <f>IF($U66="신상품",IF($F66&lt;=EOMONTH(V$9,0),$D$5,0),IF($U66="스팟",$Q66,$Q66*$D$4))*IF($AB66="",1,$AB66)</f>
        <v/>
      </c>
      <c r="W66" s="74">
        <f>IF($U66="신상품",IF($F66&lt;=EOMONTH(W$9,0),$D$5,0),IF($U66="스팟",0,IF($AA66="월평균",AVERAGEIF($H66:$P66,"&gt;0"),IF($AA66="9월",$P66,IF($AA66="10월",$V66,$T66)))))*IF($AC66="",1,$AC66)</f>
        <v/>
      </c>
      <c r="X66" s="74">
        <f>IF($U66="신상품",IF($F66&lt;=EOMONTH(X$9,0),$D$5,0),IF($U66="스팟",0,IF($AA66="월평균",AVERAGEIF($H66:$P66,"&gt;0"),IF($AA66="9월",$P66,IF($AA66="10월",$V66,$T66)))))</f>
        <v/>
      </c>
      <c r="Y66" s="75">
        <f>SUM(H66:P66)+SUM(V66:X66)</f>
        <v/>
      </c>
      <c r="Z66" s="56" t="n"/>
      <c r="AA66" s="56" t="n"/>
      <c r="AB66" s="57" t="n"/>
      <c r="AC66" s="57" t="n"/>
    </row>
    <row r="68">
      <c r="A68" s="38" t="inlineStr">
        <is>
          <t>합계</t>
        </is>
      </c>
      <c r="B68" s="38" t="n"/>
      <c r="C68" s="38" t="n"/>
      <c r="D68" s="38" t="n"/>
      <c r="E68" s="38" t="n"/>
      <c r="F68" s="38" t="n"/>
      <c r="G68" s="38" t="n"/>
      <c r="H68" s="77">
        <f>SUBTOTAL(109,H11:H66)</f>
        <v/>
      </c>
      <c r="I68" s="77">
        <f>SUBTOTAL(109,I11:I66)</f>
        <v/>
      </c>
      <c r="J68" s="77">
        <f>SUBTOTAL(109,J11:J66)</f>
        <v/>
      </c>
      <c r="K68" s="77">
        <f>SUBTOTAL(109,K11:K66)</f>
        <v/>
      </c>
      <c r="L68" s="77">
        <f>SUBTOTAL(109,L11:L66)</f>
        <v/>
      </c>
      <c r="M68" s="77">
        <f>SUBTOTAL(109,M11:M66)</f>
        <v/>
      </c>
      <c r="N68" s="77">
        <f>SUBTOTAL(109,N11:N66)</f>
        <v/>
      </c>
      <c r="O68" s="77">
        <f>SUBTOTAL(109,O11:O66)</f>
        <v/>
      </c>
      <c r="P68" s="77">
        <f>SUBTOTAL(109,P11:P66)</f>
        <v/>
      </c>
      <c r="Q68" s="77">
        <f>SUBTOTAL(109,Q11:Q66)</f>
        <v/>
      </c>
      <c r="R68" s="77" t="n"/>
      <c r="S68" s="77" t="n"/>
      <c r="T68" s="77">
        <f>SUBTOTAL(109,T11:T66)</f>
        <v/>
      </c>
      <c r="U68" s="77">
        <f>COUNTIF(U11:U66,"스팟")&amp;"개 스팟"</f>
        <v/>
      </c>
      <c r="V68" s="77">
        <f>SUBTOTAL(109,V11:V66)</f>
        <v/>
      </c>
      <c r="W68" s="77">
        <f>SUBTOTAL(109,W11:W66)</f>
        <v/>
      </c>
      <c r="X68" s="77">
        <f>SUBTOTAL(109,X11:X66)</f>
        <v/>
      </c>
      <c r="Y68" s="77">
        <f>SUBTOTAL(109,Y11:Y66)</f>
        <v/>
      </c>
    </row>
  </sheetData>
  <autoFilter ref="A10:AC66">
    <filterColumn colId="0" hiddenButton="0" showButton="1">
      <filters>
        <filter val="판매사업"/>
      </filters>
    </filterColumn>
  </autoFilter>
  <conditionalFormatting sqref="U11:U66">
    <cfRule type="containsText" priority="1" operator="containsText" dxfId="1" text="스팟">
      <formula>NOT(ISERROR(SEARCH("스팟",U11)))</formula>
    </cfRule>
    <cfRule type="containsText" priority="2" operator="containsText" dxfId="0" text="신상품">
      <formula>NOT(ISERROR(SEARCH("신상품",U11)))</formula>
    </cfRule>
  </conditionalFormatting>
  <dataValidations count="2">
    <dataValidation sqref="Z11:Z66" showDropDown="0" showInputMessage="1" showErrorMessage="1" allowBlank="1" type="list">
      <formula1>"기존,스팟,신상품"</formula1>
    </dataValidation>
    <dataValidation sqref="AA11:AA66" showDropDown="0" showInputMessage="1" showErrorMessage="1" allowBlank="1" type="list">
      <formula1>"최고월,월평균,9월,10월"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2026-07-27T02:21:27Z</dcterms:created>
  <dcterms:modified xmlns:dcterms="http://purl.org/dc/terms/" xmlns:xsi="http://www.w3.org/2001/XMLSchema-instance" xsi:type="dcterms:W3CDTF">2026-10-20T04:07:08Z</dcterms:modified>
  <cp:lastModifiedBy>User</cp:lastModifiedBy>
</cp:coreProperties>
</file>